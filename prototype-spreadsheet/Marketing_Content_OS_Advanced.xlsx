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ntent Pipeline" sheetId="2" r:id="rId6"/>
    <sheet state="visible" name="Kanban Board" sheetId="3" r:id="rId7"/>
    <sheet state="visible" name="Command Center" sheetId="4" r:id="rId8"/>
    <sheet state="visible" name="Prompt Library" sheetId="5" r:id="rId9"/>
    <sheet state="visible" name="Prompt Launcher" sheetId="6" r:id="rId10"/>
    <sheet state="visible" name="Content Calendar" sheetId="7" r:id="rId11"/>
    <sheet state="visible" name="Config" sheetId="8" r:id="rId12"/>
    <sheet state="visible" name="Apps Script Setup" sheetId="9" r:id="rId13"/>
  </sheets>
  <definedNames/>
  <calcPr/>
</workbook>
</file>

<file path=xl/sharedStrings.xml><?xml version="1.0" encoding="utf-8"?>
<sst xmlns="http://schemas.openxmlformats.org/spreadsheetml/2006/main" count="347" uniqueCount="237">
  <si>
    <t>Marketing Content OS - Advanced Google Sheets Workbook</t>
  </si>
  <si>
    <t>Section</t>
  </si>
  <si>
    <t>Details</t>
  </si>
  <si>
    <t>What this file does</t>
  </si>
  <si>
    <t>Advanced content pipeline, automatic progress bars, a Kanban board, KPI dashboard, AI prompt library, calendar integration, and Apps Script automation hooks.</t>
  </si>
  <si>
    <t>How to use it</t>
  </si>
  <si>
    <t>Upload the .xlsx to Google Drive, open it with Google Sheets, review the Config sheet, paste the included Apps Script files into Extensions &gt; Apps Script, then reload.</t>
  </si>
  <si>
    <t>Important</t>
  </si>
  <si>
    <t>Direct Google Business Profile posting requires API access approval, valid account/location IDs, and OAuth scopes.</t>
  </si>
  <si>
    <t>Files included</t>
  </si>
  <si>
    <t>Workbook (.xlsx), Code.gs, appsscript.json, and setup guide (.md).</t>
  </si>
  <si>
    <t>Reference URLs</t>
  </si>
  <si>
    <t>OpenAI Responses API: https://developers.openai.com/api/reference/resources/responses/methods/create/
OpenAI auth overview: https://platform.openai.com/docs/api-reference/
Google Business Profile Local Posts create: https://developers.google.com/my-business/reference/rest/v4/accounts.locations.localPosts/create
Google Business Profile basic setup: https://developers.google.com/my-business/content/basic-setup</t>
  </si>
  <si>
    <t>Content Pipeline</t>
  </si>
  <si>
    <t>Project ID</t>
  </si>
  <si>
    <t>Owner</t>
  </si>
  <si>
    <t>Brand / Business</t>
  </si>
  <si>
    <t>Niche</t>
  </si>
  <si>
    <t>Topic / Keyword</t>
  </si>
  <si>
    <t>Content Type</t>
  </si>
  <si>
    <t>Hub or Spoke</t>
  </si>
  <si>
    <t>Priority</t>
  </si>
  <si>
    <t>Start Date</t>
  </si>
  <si>
    <t>Due Date</t>
  </si>
  <si>
    <t>Research</t>
  </si>
  <si>
    <t>Draft</t>
  </si>
  <si>
    <t>Edit</t>
  </si>
  <si>
    <t>Design</t>
  </si>
  <si>
    <t>Schedule</t>
  </si>
  <si>
    <t>Publish</t>
  </si>
  <si>
    <t>Repurpose</t>
  </si>
  <si>
    <t>Distribute</t>
  </si>
  <si>
    <t>Current Stage</t>
  </si>
  <si>
    <t>Progress %</t>
  </si>
  <si>
    <t>Days to Due</t>
  </si>
  <si>
    <t>Published URL</t>
  </si>
  <si>
    <t>Traffic</t>
  </si>
  <si>
    <t>Conversions</t>
  </si>
  <si>
    <t>Conv Rate</t>
  </si>
  <si>
    <t>Publish Month</t>
  </si>
  <si>
    <t>Prompt Used</t>
  </si>
  <si>
    <t>AI Output</t>
  </si>
  <si>
    <t>Asset Link</t>
  </si>
  <si>
    <t>Status Note</t>
  </si>
  <si>
    <t>Last Updated</t>
  </si>
  <si>
    <t>P-001</t>
  </si>
  <si>
    <t>Marcus</t>
  </si>
  <si>
    <t>Escape Maze</t>
  </si>
  <si>
    <t>Local entertainment</t>
  </si>
  <si>
    <t>Family escape room near me</t>
  </si>
  <si>
    <t>Blog</t>
  </si>
  <si>
    <t>Hub</t>
  </si>
  <si>
    <t>High</t>
  </si>
  <si>
    <t>Yes</t>
  </si>
  <si>
    <t>No</t>
  </si>
  <si>
    <t>Blog Outline Builder</t>
  </si>
  <si>
    <t>Core article drafted; needs design assets</t>
  </si>
  <si>
    <t>Strong buyer intent</t>
  </si>
  <si>
    <t>P-002</t>
  </si>
  <si>
    <t>Top rainy day activities in Peterborough</t>
  </si>
  <si>
    <t>Spoke</t>
  </si>
  <si>
    <t>Local SEO Blog</t>
  </si>
  <si>
    <t>Draft complete; add internal links</t>
  </si>
  <si>
    <t>Link to hub page</t>
  </si>
  <si>
    <t>P-003</t>
  </si>
  <si>
    <t>Weekend escape room offer</t>
  </si>
  <si>
    <t>Google Business Profile</t>
  </si>
  <si>
    <t>Medium</t>
  </si>
  <si>
    <t>GBP Offer Post</t>
  </si>
  <si>
    <t>Use weekend CTA and booking link</t>
  </si>
  <si>
    <t>Add location keywords</t>
  </si>
  <si>
    <t>P-004</t>
  </si>
  <si>
    <t>MJW Design</t>
  </si>
  <si>
    <t>Automation agency</t>
  </si>
  <si>
    <t>AI automation checklist for small business</t>
  </si>
  <si>
    <t>Lead Magnet</t>
  </si>
  <si>
    <t>Lead Magnet Builder</t>
  </si>
  <si>
    <t>Ready to schedule landing page</t>
  </si>
  <si>
    <t>Tie to newsletter</t>
  </si>
  <si>
    <t>P-005</t>
  </si>
  <si>
    <t>How local businesses can automate follow-up</t>
  </si>
  <si>
    <t>YouTube</t>
  </si>
  <si>
    <t>Video Script</t>
  </si>
  <si>
    <t>Backlog topic</t>
  </si>
  <si>
    <t>Could become shorts series</t>
  </si>
  <si>
    <t>Kanban Board (auto-refresh from Apps Script)</t>
  </si>
  <si>
    <t>Backlog</t>
  </si>
  <si>
    <t>Drafting</t>
  </si>
  <si>
    <t>Editing</t>
  </si>
  <si>
    <t>Scheduled</t>
  </si>
  <si>
    <t>Published</t>
  </si>
  <si>
    <t>Distributed</t>
  </si>
  <si>
    <t>Use the Marketing OS menu in Google Sheets -&gt; Refresh Kanban Board to populate lane cards automatically.</t>
  </si>
  <si>
    <t>Marketing Command Center</t>
  </si>
  <si>
    <t>Total Projects</t>
  </si>
  <si>
    <t>Avg Progress</t>
  </si>
  <si>
    <t>Published+</t>
  </si>
  <si>
    <t>GMB Queue</t>
  </si>
  <si>
    <t>Due This Week</t>
  </si>
  <si>
    <t>Stage</t>
  </si>
  <si>
    <t>Count</t>
  </si>
  <si>
    <t>Month</t>
  </si>
  <si>
    <t>Upcoming Date</t>
  </si>
  <si>
    <t>Platform</t>
  </si>
  <si>
    <t>Topic</t>
  </si>
  <si>
    <t>Approval</t>
  </si>
  <si>
    <t>AI Prompt Library</t>
  </si>
  <si>
    <t>Prompt ID</t>
  </si>
  <si>
    <t>Prompt Name</t>
  </si>
  <si>
    <t>Use Case</t>
  </si>
  <si>
    <t>Target Sheet</t>
  </si>
  <si>
    <t>Variables</t>
  </si>
  <si>
    <t>Prompt Template</t>
  </si>
  <si>
    <t>Action Hint</t>
  </si>
  <si>
    <t>Output Column</t>
  </si>
  <si>
    <t>PR-001</t>
  </si>
  <si>
    <t>SEO blog outline from pipeline topic</t>
  </si>
  <si>
    <t>brand, audience, keyword, CTA</t>
  </si>
  <si>
    <t>Write a search-intent-matched SEO blog outline for {brand} about '{topic}'. Target keyword: {topic}. Audience: local buyer or prospect in {niche}. Include H1, meta description, H2s, FAQ, internal-link ideas, and a CTA to {cta}.</t>
  </si>
  <si>
    <t>Use menu -&gt; Generate Blog Outline</t>
  </si>
  <si>
    <t>AB</t>
  </si>
  <si>
    <t>PR-002</t>
  </si>
  <si>
    <t>GBP Post Generator</t>
  </si>
  <si>
    <t>Create a local Google Business Profile post</t>
  </si>
  <si>
    <t>Content Calendar</t>
  </si>
  <si>
    <t>brand, offer, location, CTA, URL</t>
  </si>
  <si>
    <t>Write a concise Google Business Profile post for {brand}. Topic: {topic}. Location keywords: {location_keywords}. CTA: {cta}. URL: {url}. Keep it natural, helpful, and action-oriented.</t>
  </si>
  <si>
    <t>Use menu -&gt; Generate GMB Post</t>
  </si>
  <si>
    <t>H</t>
  </si>
  <si>
    <t>PR-003</t>
  </si>
  <si>
    <t>Social Repurpose Pack</t>
  </si>
  <si>
    <t>Turn one topic into short posts</t>
  </si>
  <si>
    <t>brand, topic, CTA</t>
  </si>
  <si>
    <t>Create 5 social posts for {brand} based on '{topic}'. Mix educational, promotional, and proof-based angles. End each with a CTA to {cta}.</t>
  </si>
  <si>
    <t>Use menu -&gt; Generate Social Pack</t>
  </si>
  <si>
    <t>PR-004</t>
  </si>
  <si>
    <t>Video Script Starter</t>
  </si>
  <si>
    <t>Build short-form or YouTube script</t>
  </si>
  <si>
    <t>brand, topic, audience</t>
  </si>
  <si>
    <t>Write a YouTube script for {brand} on '{topic}' for {niche}. Include hook, talking points, CTA, and B-roll ideas.</t>
  </si>
  <si>
    <t>Use menu -&gt; Generate Video Script</t>
  </si>
  <si>
    <t>Prompt Launcher / Button Grid</t>
  </si>
  <si>
    <t>Generate Blog Outline
Select a row in Content Pipeline</t>
  </si>
  <si>
    <t>Generate GMB Post
Select a row in Content Calendar</t>
  </si>
  <si>
    <t>Generate Social Pack
Select a row in Content Pipeline</t>
  </si>
  <si>
    <t>Refresh Kanban
Rebuild board from current stages</t>
  </si>
  <si>
    <t>Sync Pipeline -&gt; Calendar
Create calendar rows from pipeline</t>
  </si>
  <si>
    <t>Build Weekly Queue
Auto-fill upcoming calendar slots</t>
  </si>
  <si>
    <t>Post Approved GMB
Publish approved GBP rows</t>
  </si>
  <si>
    <t>Open Config / Setup
Complete keys before AI actions</t>
  </si>
  <si>
    <t>Note</t>
  </si>
  <si>
    <t>These tiles are visual launchers. The included Apps Script adds the real Marketing OS menu actions in Google Sheets.</t>
  </si>
  <si>
    <t>If you want true clickable drawings, add them in Google Sheets after import and assign them to the matching Apps Script function names.</t>
  </si>
  <si>
    <t>Content Calendar + GMB Workflow</t>
  </si>
  <si>
    <t>Calendar ID</t>
  </si>
  <si>
    <t>Post Date</t>
  </si>
  <si>
    <t>Source Project ID</t>
  </si>
  <si>
    <t>Workflow Status</t>
  </si>
  <si>
    <t>Generated Copy</t>
  </si>
  <si>
    <t>CTA</t>
  </si>
  <si>
    <t>Destination URL</t>
  </si>
  <si>
    <t>Location Keywords</t>
  </si>
  <si>
    <t>Auto Queue</t>
  </si>
  <si>
    <t>Publish Week</t>
  </si>
  <si>
    <t>Notes</t>
  </si>
  <si>
    <t>Publish to GBP?</t>
  </si>
  <si>
    <t>GBP Topic Type</t>
  </si>
  <si>
    <t>Media URL</t>
  </si>
  <si>
    <t>CAL-001</t>
  </si>
  <si>
    <t>Offer</t>
  </si>
  <si>
    <t>Ready to Generate</t>
  </si>
  <si>
    <t>Book now</t>
  </si>
  <si>
    <t>https://example.com/book</t>
  </si>
  <si>
    <t>Peterborough escape room, family fun</t>
  </si>
  <si>
    <t>Pending</t>
  </si>
  <si>
    <t>Offer + weekend CTA</t>
  </si>
  <si>
    <t>STANDARD</t>
  </si>
  <si>
    <t>CAL-002</t>
  </si>
  <si>
    <t>Article</t>
  </si>
  <si>
    <t>Drafted</t>
  </si>
  <si>
    <t>Read more</t>
  </si>
  <si>
    <t>https://example.com/blog/escape-room-near-me</t>
  </si>
  <si>
    <t>Peterborough, Kawarthas</t>
  </si>
  <si>
    <t>Link to booking page</t>
  </si>
  <si>
    <t>CAL-003</t>
  </si>
  <si>
    <t>Update</t>
  </si>
  <si>
    <t>Planned</t>
  </si>
  <si>
    <t>Learn more</t>
  </si>
  <si>
    <t>https://example.com/blog/rainy-day-activities</t>
  </si>
  <si>
    <t>Peterborough rainy day activities</t>
  </si>
  <si>
    <t>Tie to spoke content</t>
  </si>
  <si>
    <t>Config / API Setup</t>
  </si>
  <si>
    <t>Key</t>
  </si>
  <si>
    <t>Value</t>
  </si>
  <si>
    <t>OPENAI_API_KEY</t>
  </si>
  <si>
    <t>sk-...</t>
  </si>
  <si>
    <t>Prefer storing this in Script Properties after setup.</t>
  </si>
  <si>
    <t>OPENAI_MODEL</t>
  </si>
  <si>
    <t>gpt-5.4</t>
  </si>
  <si>
    <t>Responses API-compatible model.</t>
  </si>
  <si>
    <t>BRAND_NAME</t>
  </si>
  <si>
    <t>Primary business/brand name.</t>
  </si>
  <si>
    <t>BRAND_VOICE</t>
  </si>
  <si>
    <t>Helpful, local, conversion-focused</t>
  </si>
  <si>
    <t>Tone for generation.</t>
  </si>
  <si>
    <t>WEBSITE_URL</t>
  </si>
  <si>
    <t>https://example.com</t>
  </si>
  <si>
    <t>Default site URL.</t>
  </si>
  <si>
    <t>DEFAULT_CTA</t>
  </si>
  <si>
    <t>Default CTA.</t>
  </si>
  <si>
    <t>DEFAULT_LOCATION_KEYWORDS</t>
  </si>
  <si>
    <t>Local keyword bundle.</t>
  </si>
  <si>
    <t>GMB_ACCOUNT_ID</t>
  </si>
  <si>
    <t>accounts/123456789</t>
  </si>
  <si>
    <t>Business Profile account resource.</t>
  </si>
  <si>
    <t>GMB_LOCATION_ID</t>
  </si>
  <si>
    <t>locations/123456789</t>
  </si>
  <si>
    <t>Business Profile location resource.</t>
  </si>
  <si>
    <t>GBP_DIRECT_POSTING</t>
  </si>
  <si>
    <t>Set Yes only after API access/scopes are working.</t>
  </si>
  <si>
    <t>Apps Script Setup</t>
  </si>
  <si>
    <t>Step</t>
  </si>
  <si>
    <t>Action</t>
  </si>
  <si>
    <t>Open the workbook in Google Sheets</t>
  </si>
  <si>
    <t>Upload the .xlsx to Google Drive, then open with Google Sheets.</t>
  </si>
  <si>
    <t>Open Extensions &gt; Apps Script</t>
  </si>
  <si>
    <t>Delete the default code and paste in Code.gs. Add appsscript.json.</t>
  </si>
  <si>
    <t>Review Config sheet</t>
  </si>
  <si>
    <t>Fill API key, model, website URL, CTA, and GBP account/location IDs.</t>
  </si>
  <si>
    <t>Reload the spreadsheet</t>
  </si>
  <si>
    <t>You will see a new menu named Marketing OS.</t>
  </si>
  <si>
    <t>Authorize the script</t>
  </si>
  <si>
    <t>The first run will prompt for authorization.</t>
  </si>
  <si>
    <t>Run Sync Pipeline to Calendar</t>
  </si>
  <si>
    <t>Creates calendar queue rows from pipeline items.</t>
  </si>
  <si>
    <t>Run Refresh Kanban</t>
  </si>
  <si>
    <t>Builds visual lane cards from current pipeline stages.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</si>
</sst>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%"/>
    <numFmt numFmtId="166" formatCode="yyyy-mm"/>
  </numFmts>
  <fonts count="11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rgb="FFFFFFFF"/>
      <name val="Calibri"/>
      <scheme val="minor"/>
    </font>
    <font>
      <b/>
      <color rgb="FF6B728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1F2937"/>
      <name val="Calibri"/>
      <scheme val="minor"/>
    </font>
    <font>
      <i/>
      <color rgb="FF6B7280"/>
      <name val="Calibri"/>
      <scheme val="minor"/>
    </font>
    <font>
      <b/>
      <sz val="16.0"/>
      <color rgb="FF1F2937"/>
      <name val="Calibri"/>
      <scheme val="minor"/>
    </font>
    <font>
      <b/>
      <sz val="12.0"/>
      <color rgb="FF1F2937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0F766E"/>
        <bgColor rgb="FF0F766E"/>
      </patternFill>
    </fill>
    <fill>
      <patternFill patternType="solid">
        <fgColor rgb="FF2563EB"/>
        <bgColor rgb="FF2563EB"/>
      </patternFill>
    </fill>
    <fill>
      <patternFill patternType="solid">
        <fgColor rgb="FF7C3AED"/>
        <bgColor rgb="FF7C3AED"/>
      </patternFill>
    </fill>
    <fill>
      <patternFill patternType="solid">
        <fgColor rgb="FFFEE2E2"/>
        <bgColor rgb="FFFEE2E2"/>
      </patternFill>
    </fill>
    <fill>
      <patternFill patternType="solid">
        <fgColor rgb="FFFFEDD5"/>
        <bgColor rgb="FFFFEDD5"/>
      </patternFill>
    </fill>
    <fill>
      <patternFill patternType="solid">
        <fgColor rgb="FFDBEAFE"/>
        <bgColor rgb="FFDBEAFE"/>
      </patternFill>
    </fill>
    <fill>
      <patternFill patternType="solid">
        <fgColor rgb="FFEDE9FE"/>
        <bgColor rgb="FFEDE9FE"/>
      </patternFill>
    </fill>
    <fill>
      <patternFill patternType="solid">
        <fgColor rgb="FFCCFBF1"/>
        <bgColor rgb="FFCCFBF1"/>
      </patternFill>
    </fill>
    <fill>
      <patternFill patternType="solid">
        <fgColor rgb="FFE0F2FE"/>
        <bgColor rgb="FFE0F2FE"/>
      </patternFill>
    </fill>
    <fill>
      <patternFill patternType="solid">
        <fgColor rgb="FFDCFCE7"/>
        <bgColor rgb="FFDCFCE7"/>
      </patternFill>
    </fill>
    <fill>
      <patternFill patternType="solid">
        <fgColor rgb="FFD1FAE5"/>
        <bgColor rgb="FFD1FAE5"/>
      </patternFill>
    </fill>
    <fill>
      <patternFill patternType="solid">
        <fgColor rgb="FFF9FAFB"/>
        <bgColor rgb="FFF9FAFB"/>
      </patternFill>
    </fill>
    <fill>
      <patternFill patternType="solid">
        <fgColor rgb="FF15803D"/>
        <bgColor rgb="FF15803D"/>
      </patternFill>
    </fill>
    <fill>
      <patternFill patternType="solid">
        <fgColor rgb="FFC2410C"/>
        <bgColor rgb="FFC2410C"/>
      </patternFill>
    </fill>
    <fill>
      <patternFill patternType="solid">
        <fgColor rgb="FFB91C1C"/>
        <bgColor rgb="FFB91C1C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bottom style="medium">
        <color rgb="FF9CA3AF"/>
      </bottom>
    </border>
    <border>
      <bottom style="thin">
        <color rgb="FFD1D5DB"/>
      </bottom>
    </border>
    <border>
      <left/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</border>
    <border>
      <top/>
    </border>
    <border>
      <right/>
      <top/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  <bottom/>
    </border>
    <border>
      <left/>
    </border>
    <border>
      <right/>
    </border>
    <border>
      <left/>
      <right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  <xf borderId="1" fillId="4" fontId="1" numFmtId="0" xfId="0" applyAlignment="1" applyBorder="1" applyFill="1" applyFont="1">
      <alignment horizontal="left" vertical="center"/>
    </xf>
    <xf borderId="4" fillId="2" fontId="3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top" wrapText="1"/>
    </xf>
    <xf borderId="5" fillId="0" fontId="5" numFmtId="164" xfId="0" applyAlignment="1" applyBorder="1" applyFont="1" applyNumberFormat="1">
      <alignment shrinkToFit="0" vertical="top" wrapText="1"/>
    </xf>
    <xf borderId="5" fillId="0" fontId="5" numFmtId="9" xfId="0" applyAlignment="1" applyBorder="1" applyFont="1" applyNumberFormat="1">
      <alignment shrinkToFit="0" vertical="top" wrapText="1"/>
    </xf>
    <xf borderId="5" fillId="0" fontId="5" numFmtId="165" xfId="0" applyAlignment="1" applyBorder="1" applyFont="1" applyNumberFormat="1">
      <alignment shrinkToFit="0" vertical="top" wrapText="1"/>
    </xf>
    <xf borderId="0" fillId="0" fontId="6" numFmtId="0" xfId="0" applyFont="1"/>
    <xf borderId="1" fillId="5" fontId="1" numFmtId="0" xfId="0" applyAlignment="1" applyBorder="1" applyFill="1" applyFont="1">
      <alignment horizontal="left" vertical="center"/>
    </xf>
    <xf borderId="1" fillId="6" fontId="7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horizontal="center"/>
    </xf>
    <xf borderId="1" fillId="8" fontId="7" numFmtId="0" xfId="0" applyAlignment="1" applyBorder="1" applyFill="1" applyFont="1">
      <alignment horizontal="center"/>
    </xf>
    <xf borderId="1" fillId="9" fontId="7" numFmtId="0" xfId="0" applyAlignment="1" applyBorder="1" applyFill="1" applyFont="1">
      <alignment horizontal="center"/>
    </xf>
    <xf borderId="1" fillId="10" fontId="7" numFmtId="0" xfId="0" applyAlignment="1" applyBorder="1" applyFill="1" applyFont="1">
      <alignment horizontal="center"/>
    </xf>
    <xf borderId="1" fillId="11" fontId="7" numFmtId="0" xfId="0" applyAlignment="1" applyBorder="1" applyFill="1" applyFont="1">
      <alignment horizontal="center"/>
    </xf>
    <xf borderId="1" fillId="12" fontId="7" numFmtId="0" xfId="0" applyAlignment="1" applyBorder="1" applyFill="1" applyFont="1">
      <alignment horizontal="center"/>
    </xf>
    <xf borderId="6" fillId="13" fontId="7" numFmtId="0" xfId="0" applyAlignment="1" applyBorder="1" applyFill="1" applyFont="1">
      <alignment horizontal="center"/>
    </xf>
    <xf borderId="1" fillId="14" fontId="4" numFmtId="0" xfId="0" applyAlignment="1" applyBorder="1" applyFill="1" applyFont="1">
      <alignment horizontal="center"/>
    </xf>
    <xf borderId="6" fillId="14" fontId="4" numFmtId="0" xfId="0" applyAlignment="1" applyBorder="1" applyFont="1">
      <alignment horizontal="center"/>
    </xf>
    <xf borderId="7" fillId="0" fontId="5" numFmtId="0" xfId="0" applyAlignment="1" applyBorder="1" applyFont="1">
      <alignment shrinkToFit="0" vertical="top" wrapText="1"/>
    </xf>
    <xf borderId="8" fillId="0" fontId="2" numFmtId="0" xfId="0" applyBorder="1" applyFont="1"/>
    <xf borderId="9" fillId="0" fontId="5" numFmtId="0" xfId="0" applyAlignment="1" applyBorder="1" applyFont="1">
      <alignment shrinkToFit="0" vertical="top" wrapText="1"/>
    </xf>
    <xf borderId="0" fillId="0" fontId="8" numFmtId="0" xfId="0" applyFont="1"/>
    <xf borderId="1" fillId="3" fontId="1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0" fillId="14" fontId="9" numFmtId="3" xfId="0" applyAlignment="1" applyBorder="1" applyFont="1" applyNumberForma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14" fontId="9" numFmtId="165" xfId="0" applyAlignment="1" applyBorder="1" applyFont="1" applyNumberFormat="1">
      <alignment horizontal="center" vertical="center"/>
    </xf>
    <xf borderId="13" fillId="14" fontId="9" numFmtId="3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" fillId="16" fontId="3" numFmtId="0" xfId="0" applyAlignment="1" applyBorder="1" applyFill="1" applyFont="1">
      <alignment horizontal="center" vertical="center"/>
    </xf>
    <xf borderId="1" fillId="17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shrinkToFit="0" wrapText="1"/>
    </xf>
    <xf borderId="6" fillId="6" fontId="5" numFmtId="0" xfId="0" applyBorder="1" applyFont="1"/>
    <xf borderId="0" fillId="0" fontId="5" numFmtId="166" xfId="0" applyFont="1" applyNumberFormat="1"/>
    <xf borderId="0" fillId="0" fontId="5" numFmtId="164" xfId="0" applyFont="1" applyNumberFormat="1"/>
    <xf borderId="6" fillId="7" fontId="5" numFmtId="0" xfId="0" applyBorder="1" applyFont="1"/>
    <xf borderId="6" fillId="8" fontId="5" numFmtId="0" xfId="0" applyBorder="1" applyFont="1"/>
    <xf borderId="6" fillId="9" fontId="5" numFmtId="0" xfId="0" applyBorder="1" applyFont="1"/>
    <xf borderId="6" fillId="10" fontId="5" numFmtId="0" xfId="0" applyBorder="1" applyFont="1"/>
    <xf borderId="6" fillId="11" fontId="5" numFmtId="0" xfId="0" applyBorder="1" applyFont="1"/>
    <xf borderId="6" fillId="12" fontId="5" numFmtId="0" xfId="0" applyBorder="1" applyFont="1"/>
    <xf borderId="6" fillId="13" fontId="5" numFmtId="0" xfId="0" applyBorder="1" applyFont="1"/>
    <xf borderId="1" fillId="16" fontId="1" numFmtId="0" xfId="0" applyAlignment="1" applyBorder="1" applyFont="1">
      <alignment horizontal="left" vertical="center"/>
    </xf>
    <xf borderId="0" fillId="0" fontId="6" numFmtId="0" xfId="0" applyFont="1"/>
    <xf borderId="10" fillId="8" fontId="10" numFmtId="0" xfId="0" applyAlignment="1" applyBorder="1" applyFont="1">
      <alignment horizontal="center" shrinkToFit="0" vertical="center" wrapText="1"/>
    </xf>
    <xf borderId="13" fillId="10" fontId="10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0" fillId="10" fontId="10" numFmtId="0" xfId="0" applyAlignment="1" applyBorder="1" applyFont="1">
      <alignment horizontal="center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1" fillId="15" fontId="1" numFmtId="0" xfId="0" applyAlignment="1" applyBorder="1" applyFont="1">
      <alignment horizontal="left" vertical="center"/>
    </xf>
    <xf borderId="0" fillId="0" fontId="5" numFmtId="164" xfId="0" applyFont="1" applyNumberFormat="1"/>
    <xf borderId="4" fillId="2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FEDD5"/>
          <bgColor rgb="FFFFEDD5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EDE9FE"/>
          <bgColor rgb="FFEDE9FE"/>
        </patternFill>
      </fill>
      <border/>
    </dxf>
    <dxf>
      <font/>
      <fill>
        <patternFill patternType="solid">
          <fgColor rgb="FFCCFBF1"/>
          <bgColor rgb="FFCCFBF1"/>
        </patternFill>
      </fill>
      <border/>
    </dxf>
    <dxf>
      <font/>
      <fill>
        <patternFill patternType="solid">
          <fgColor rgb="FFE0F2FE"/>
          <bgColor rgb="FFE0F2FE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5F3FF"/>
          <bgColor rgb="FFF5F3FF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  <tableStyles count="3">
    <tableStyle count="3" pivot="0" name="Content Pipeline-style">
      <tableStyleElement dxfId="1" type="headerRow"/>
      <tableStyleElement dxfId="2" type="firstRowStripe"/>
      <tableStyleElement dxfId="3" type="secondRowStripe"/>
    </tableStyle>
    <tableStyle count="3" pivot="0" name="Prompt Library-style">
      <tableStyleElement dxfId="13" type="headerRow"/>
      <tableStyleElement dxfId="14" type="firstRowStripe"/>
      <tableStyleElement dxfId="3" type="secondRowStripe"/>
    </tableStyle>
    <tableStyle count="3" pivot="0" name="Content Calendar-style">
      <tableStyleElement dxfId="15" type="headerRow"/>
      <tableStyleElement dxfId="16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Pipeline by Stage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'Command Center'!$B$12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'Command Center'!$A$13:$A$20</c:f>
            </c:strRef>
          </c:cat>
          <c:val>
            <c:numRef>
              <c:f>'Command Center'!$B$13:$B$20</c:f>
              <c:numCache/>
            </c:numRef>
          </c:val>
        </c:ser>
        <c:axId val="1703341323"/>
        <c:axId val="2109422463"/>
      </c:barChart>
      <c:catAx>
        <c:axId val="17033413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422463"/>
      </c:catAx>
      <c:valAx>
        <c:axId val="21094224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3413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Traffic and Conversions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'Command Center'!$E$12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'Command Center'!$D$13:$D$18</c:f>
            </c:strRef>
          </c:cat>
          <c:val>
            <c:numRef>
              <c:f>'Command Center'!$E$13:$E$18</c:f>
              <c:numCache/>
            </c:numRef>
          </c:val>
          <c:smooth val="0"/>
        </c:ser>
        <c:ser>
          <c:idx val="1"/>
          <c:order val="1"/>
          <c:tx>
            <c:strRef>
              <c:f>'Command Center'!$F$12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'Command Center'!$D$13:$D$18</c:f>
            </c:strRef>
          </c:cat>
          <c:val>
            <c:numRef>
              <c:f>'Command Center'!$F$13:$F$18</c:f>
              <c:numCache/>
            </c:numRef>
          </c:val>
          <c:smooth val="0"/>
        </c:ser>
        <c:axId val="546034371"/>
        <c:axId val="299471021"/>
      </c:lineChart>
      <c:catAx>
        <c:axId val="546034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471021"/>
      </c:catAx>
      <c:valAx>
        <c:axId val="299471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034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3238500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21</xdr:row>
      <xdr:rowOff>0</xdr:rowOff>
    </xdr:from>
    <xdr:ext cx="359092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E302" displayName="Table_1" name="Table_1" id="1">
  <tableColumns count="31">
    <tableColumn name="Project ID" id="1"/>
    <tableColumn name="Owner" id="2"/>
    <tableColumn name="Brand / Business" id="3"/>
    <tableColumn name="Niche" id="4"/>
    <tableColumn name="Topic / Keyword" id="5"/>
    <tableColumn name="Content Type" id="6"/>
    <tableColumn name="Hub or Spoke" id="7"/>
    <tableColumn name="Priority" id="8"/>
    <tableColumn name="Start Date" id="9"/>
    <tableColumn name="Due Date" id="10"/>
    <tableColumn name="Research" id="11"/>
    <tableColumn name="Draft" id="12"/>
    <tableColumn name="Edit" id="13"/>
    <tableColumn name="Design" id="14"/>
    <tableColumn name="Schedule" id="15"/>
    <tableColumn name="Publish" id="16"/>
    <tableColumn name="Repurpose" id="17"/>
    <tableColumn name="Distribute" id="18"/>
    <tableColumn name="Current Stage" id="19"/>
    <tableColumn name="Progress %" id="20"/>
    <tableColumn name="Days to Due" id="21"/>
    <tableColumn name="Published URL" id="22"/>
    <tableColumn name="Traffic" id="23"/>
    <tableColumn name="Conversions" id="24"/>
    <tableColumn name="Conv Rate" id="25"/>
    <tableColumn name="Publish Month" id="26"/>
    <tableColumn name="Prompt Used" id="27"/>
    <tableColumn name="AI Output" id="28"/>
    <tableColumn name="Asset Link" id="29"/>
    <tableColumn name="Status Note" id="30"/>
    <tableColumn name="Last Updated" id="31"/>
  </tableColumns>
  <tableStyleInfo name="Content Pipeline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e_2" name="Table_2" id="2">
  <tableColumns count="8">
    <tableColumn name="Prompt ID" id="1"/>
    <tableColumn name="Prompt Name" id="2"/>
    <tableColumn name="Use Case" id="3"/>
    <tableColumn name="Target Sheet" id="4"/>
    <tableColumn name="Variables" id="5"/>
    <tableColumn name="Prompt Template" id="6"/>
    <tableColumn name="Action Hint" id="7"/>
    <tableColumn name="Output Column" id="8"/>
  </tableColumns>
  <tableStyleInfo name="Prompt Library-style" showColumnStripes="0" showFirstColumn="1" showLastColumn="1" showRowStripes="1"/>
</table>
</file>

<file path=xl/tables/table3.xml><?xml version="1.0" encoding="utf-8"?>
<table xmlns="http://schemas.openxmlformats.org/spreadsheetml/2006/main" ref="A2:T502" displayName="Table_3" name="Table_3" id="3">
  <tableColumns count="20">
    <tableColumn name="Calendar ID" id="1"/>
    <tableColumn name="Post Date" id="2"/>
    <tableColumn name="Platform" id="3"/>
    <tableColumn name="Content Type" id="4"/>
    <tableColumn name="Source Project ID" id="5"/>
    <tableColumn name="Topic" id="6"/>
    <tableColumn name="Workflow Status" id="7"/>
    <tableColumn name="Generated Copy" id="8"/>
    <tableColumn name="CTA" id="9"/>
    <tableColumn name="Destination URL" id="10"/>
    <tableColumn name="Location Keywords" id="11"/>
    <tableColumn name="Approval" id="12"/>
    <tableColumn name="Auto Queue" id="13"/>
    <tableColumn name="Published URL" id="14"/>
    <tableColumn name="Publish Week" id="15"/>
    <tableColumn name="Owner" id="16"/>
    <tableColumn name="Notes" id="17"/>
    <tableColumn name="Publish to GBP?" id="18"/>
    <tableColumn name="GBP Topic Type" id="19"/>
    <tableColumn name="Media URL" id="20"/>
  </tableColumns>
  <tableStyleInfo name="Content Calend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10.0"/>
    <col customWidth="1" min="3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3" ht="24.0" customHeight="1">
      <c r="A3" s="4" t="s">
        <v>1</v>
      </c>
      <c r="B3" s="4" t="s">
        <v>2</v>
      </c>
    </row>
    <row r="4" ht="37.5" customHeight="1">
      <c r="A4" s="5" t="s">
        <v>3</v>
      </c>
      <c r="B4" s="6" t="s">
        <v>4</v>
      </c>
    </row>
    <row r="5" ht="37.5" customHeight="1">
      <c r="A5" s="5" t="s">
        <v>5</v>
      </c>
      <c r="B5" s="6" t="s">
        <v>6</v>
      </c>
    </row>
    <row r="6" ht="37.5" customHeight="1">
      <c r="A6" s="5" t="s">
        <v>7</v>
      </c>
      <c r="B6" s="6" t="s">
        <v>8</v>
      </c>
    </row>
    <row r="7" ht="37.5" customHeight="1">
      <c r="A7" s="5" t="s">
        <v>9</v>
      </c>
      <c r="B7" s="6" t="s">
        <v>10</v>
      </c>
    </row>
    <row r="10" ht="67.5" customHeight="1">
      <c r="A10" s="5" t="s">
        <v>11</v>
      </c>
      <c r="B10" s="7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4" width="18.0"/>
    <col customWidth="1" min="5" max="5" width="32.0"/>
    <col customWidth="1" min="6" max="6" width="22.0"/>
    <col customWidth="1" min="7" max="7" width="12.0"/>
    <col customWidth="1" min="8" max="8" width="10.0"/>
    <col customWidth="1" min="9" max="10" width="12.0"/>
    <col customWidth="1" min="11" max="16" width="10.0"/>
    <col customWidth="1" min="17" max="18" width="11.0"/>
    <col customWidth="1" min="19" max="19" width="15.0"/>
    <col customWidth="1" min="20" max="21" width="11.0"/>
    <col customWidth="1" min="22" max="22" width="28.0"/>
    <col customWidth="1" min="23" max="23" width="11.0"/>
    <col customWidth="1" min="24" max="24" width="12.0"/>
    <col customWidth="1" min="25" max="25" width="11.0"/>
    <col customWidth="1" min="26" max="26" width="13.0"/>
    <col customWidth="1" min="27" max="27" width="18.0"/>
    <col customWidth="1" min="28" max="28" width="34.0"/>
    <col customWidth="1" min="29" max="30" width="24.0"/>
    <col customWidth="1" min="31" max="31" width="14.0"/>
  </cols>
  <sheetData>
    <row r="1" ht="27.75" customHeight="1">
      <c r="A1" s="8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24.0" customHeight="1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9" t="s">
        <v>31</v>
      </c>
      <c r="S2" s="9" t="s">
        <v>32</v>
      </c>
      <c r="T2" s="9" t="s">
        <v>33</v>
      </c>
      <c r="U2" s="9" t="s">
        <v>34</v>
      </c>
      <c r="V2" s="9" t="s">
        <v>35</v>
      </c>
      <c r="W2" s="9" t="s">
        <v>36</v>
      </c>
      <c r="X2" s="9" t="s">
        <v>37</v>
      </c>
      <c r="Y2" s="9" t="s">
        <v>38</v>
      </c>
      <c r="Z2" s="9" t="s">
        <v>39</v>
      </c>
      <c r="AA2" s="9" t="s">
        <v>40</v>
      </c>
      <c r="AB2" s="9" t="s">
        <v>41</v>
      </c>
      <c r="AC2" s="9" t="s">
        <v>42</v>
      </c>
      <c r="AD2" s="9" t="s">
        <v>43</v>
      </c>
      <c r="AE2" s="9" t="s">
        <v>44</v>
      </c>
    </row>
    <row r="3">
      <c r="A3" s="10" t="s">
        <v>45</v>
      </c>
      <c r="B3" s="10" t="s">
        <v>46</v>
      </c>
      <c r="C3" s="10" t="s">
        <v>47</v>
      </c>
      <c r="D3" s="10" t="s">
        <v>48</v>
      </c>
      <c r="E3" s="10" t="s">
        <v>49</v>
      </c>
      <c r="F3" s="10" t="s">
        <v>50</v>
      </c>
      <c r="G3" s="10" t="s">
        <v>51</v>
      </c>
      <c r="H3" s="10" t="s">
        <v>52</v>
      </c>
      <c r="I3" s="11">
        <v>46083.0</v>
      </c>
      <c r="J3" s="11">
        <v>46091.0</v>
      </c>
      <c r="K3" s="10" t="s">
        <v>53</v>
      </c>
      <c r="L3" s="10" t="s">
        <v>53</v>
      </c>
      <c r="M3" s="10" t="s">
        <v>53</v>
      </c>
      <c r="N3" s="10" t="s">
        <v>54</v>
      </c>
      <c r="O3" s="10" t="s">
        <v>54</v>
      </c>
      <c r="P3" s="10" t="s">
        <v>54</v>
      </c>
      <c r="Q3" s="10" t="s">
        <v>54</v>
      </c>
      <c r="R3" s="10" t="s">
        <v>54</v>
      </c>
      <c r="S3" s="10" t="str">
        <f t="shared" ref="S3:S302" si="1">IF(A3="","",IF(R3="Yes","Distributed",IF(Q3="Yes","Repurpose",IF(P3="Yes","Published",IF(O3="Yes","Scheduled",IF(N3="Yes","Design",IF(M3="Yes","Editing",IF(L3="Yes","Drafting",IF(K3="Yes","Research","Backlog")))))))))</f>
        <v>Editing</v>
      </c>
      <c r="T3" s="12">
        <f t="shared" ref="T3:T302" si="2">IF(A3="","",COUNTIF(K3:R3,"Yes")/8)</f>
        <v>0.375</v>
      </c>
      <c r="U3" s="10">
        <f t="shared" ref="U3:U302" si="3">IF(OR(A3="",J3=""),"",J3-TODAY())</f>
        <v>-17</v>
      </c>
      <c r="V3" s="10"/>
      <c r="W3" s="10">
        <v>340.0</v>
      </c>
      <c r="X3" s="10">
        <v>12.0</v>
      </c>
      <c r="Y3" s="13">
        <f t="shared" ref="Y3:Y302" si="4">IF(OR(A3="",W3=0),"",X3/W3)</f>
        <v>0.03529411765</v>
      </c>
      <c r="Z3" s="10" t="str">
        <f t="shared" ref="Z3:Z302" si="5">IF(OR(A3="",J3=""),"",TEXT(J3,"yyyy-mm"))</f>
        <v>2026-03</v>
      </c>
      <c r="AA3" s="10" t="s">
        <v>55</v>
      </c>
      <c r="AB3" s="10" t="s">
        <v>56</v>
      </c>
      <c r="AC3" s="10"/>
      <c r="AD3" s="10" t="s">
        <v>57</v>
      </c>
      <c r="AE3" s="11">
        <v>46088.0</v>
      </c>
    </row>
    <row r="4">
      <c r="A4" s="10" t="s">
        <v>58</v>
      </c>
      <c r="B4" s="10" t="s">
        <v>46</v>
      </c>
      <c r="C4" s="10" t="s">
        <v>47</v>
      </c>
      <c r="D4" s="10" t="s">
        <v>48</v>
      </c>
      <c r="E4" s="10" t="s">
        <v>59</v>
      </c>
      <c r="F4" s="10" t="s">
        <v>50</v>
      </c>
      <c r="G4" s="10" t="s">
        <v>60</v>
      </c>
      <c r="H4" s="10" t="s">
        <v>52</v>
      </c>
      <c r="I4" s="11">
        <v>46085.0</v>
      </c>
      <c r="J4" s="11">
        <v>46093.0</v>
      </c>
      <c r="K4" s="10" t="s">
        <v>53</v>
      </c>
      <c r="L4" s="10" t="s">
        <v>53</v>
      </c>
      <c r="M4" s="10" t="s">
        <v>54</v>
      </c>
      <c r="N4" s="10" t="s">
        <v>54</v>
      </c>
      <c r="O4" s="10" t="s">
        <v>54</v>
      </c>
      <c r="P4" s="10" t="s">
        <v>54</v>
      </c>
      <c r="Q4" s="10" t="s">
        <v>54</v>
      </c>
      <c r="R4" s="10" t="s">
        <v>54</v>
      </c>
      <c r="S4" s="10" t="str">
        <f t="shared" si="1"/>
        <v>Drafting</v>
      </c>
      <c r="T4" s="12">
        <f t="shared" si="2"/>
        <v>0.25</v>
      </c>
      <c r="U4" s="10">
        <f t="shared" si="3"/>
        <v>-15</v>
      </c>
      <c r="V4" s="10"/>
      <c r="W4" s="10">
        <v>0.0</v>
      </c>
      <c r="X4" s="10">
        <v>0.0</v>
      </c>
      <c r="Y4" s="13" t="str">
        <f t="shared" si="4"/>
        <v/>
      </c>
      <c r="Z4" s="10" t="str">
        <f t="shared" si="5"/>
        <v>2026-03</v>
      </c>
      <c r="AA4" s="10" t="s">
        <v>61</v>
      </c>
      <c r="AB4" s="10" t="s">
        <v>62</v>
      </c>
      <c r="AC4" s="10"/>
      <c r="AD4" s="10" t="s">
        <v>63</v>
      </c>
      <c r="AE4" s="11">
        <v>46088.0</v>
      </c>
    </row>
    <row r="5">
      <c r="A5" s="10" t="s">
        <v>64</v>
      </c>
      <c r="B5" s="10" t="s">
        <v>46</v>
      </c>
      <c r="C5" s="10" t="s">
        <v>47</v>
      </c>
      <c r="D5" s="10" t="s">
        <v>48</v>
      </c>
      <c r="E5" s="10" t="s">
        <v>65</v>
      </c>
      <c r="F5" s="10" t="s">
        <v>66</v>
      </c>
      <c r="G5" s="10" t="s">
        <v>60</v>
      </c>
      <c r="H5" s="10" t="s">
        <v>67</v>
      </c>
      <c r="I5" s="11">
        <v>46086.0</v>
      </c>
      <c r="J5" s="11">
        <v>46089.0</v>
      </c>
      <c r="K5" s="10" t="s">
        <v>53</v>
      </c>
      <c r="L5" s="10" t="s">
        <v>54</v>
      </c>
      <c r="M5" s="10" t="s">
        <v>54</v>
      </c>
      <c r="N5" s="10" t="s">
        <v>54</v>
      </c>
      <c r="O5" s="10" t="s">
        <v>54</v>
      </c>
      <c r="P5" s="10" t="s">
        <v>54</v>
      </c>
      <c r="Q5" s="10" t="s">
        <v>54</v>
      </c>
      <c r="R5" s="10" t="s">
        <v>54</v>
      </c>
      <c r="S5" s="10" t="str">
        <f t="shared" si="1"/>
        <v>Research</v>
      </c>
      <c r="T5" s="12">
        <f t="shared" si="2"/>
        <v>0.125</v>
      </c>
      <c r="U5" s="10">
        <f t="shared" si="3"/>
        <v>-19</v>
      </c>
      <c r="V5" s="10"/>
      <c r="W5" s="10">
        <v>0.0</v>
      </c>
      <c r="X5" s="10">
        <v>0.0</v>
      </c>
      <c r="Y5" s="13" t="str">
        <f t="shared" si="4"/>
        <v/>
      </c>
      <c r="Z5" s="10" t="str">
        <f t="shared" si="5"/>
        <v>2026-03</v>
      </c>
      <c r="AA5" s="10" t="s">
        <v>68</v>
      </c>
      <c r="AB5" s="10" t="s">
        <v>69</v>
      </c>
      <c r="AC5" s="10"/>
      <c r="AD5" s="10" t="s">
        <v>70</v>
      </c>
      <c r="AE5" s="11">
        <v>46088.0</v>
      </c>
    </row>
    <row r="6">
      <c r="A6" s="10" t="s">
        <v>71</v>
      </c>
      <c r="B6" s="10" t="s">
        <v>46</v>
      </c>
      <c r="C6" s="10" t="s">
        <v>72</v>
      </c>
      <c r="D6" s="10" t="s">
        <v>73</v>
      </c>
      <c r="E6" s="10" t="s">
        <v>74</v>
      </c>
      <c r="F6" s="10" t="s">
        <v>75</v>
      </c>
      <c r="G6" s="10" t="s">
        <v>51</v>
      </c>
      <c r="H6" s="10" t="s">
        <v>52</v>
      </c>
      <c r="I6" s="11">
        <v>46082.0</v>
      </c>
      <c r="J6" s="11">
        <v>46096.0</v>
      </c>
      <c r="K6" s="10" t="s">
        <v>53</v>
      </c>
      <c r="L6" s="10" t="s">
        <v>53</v>
      </c>
      <c r="M6" s="10" t="s">
        <v>53</v>
      </c>
      <c r="N6" s="10" t="s">
        <v>53</v>
      </c>
      <c r="O6" s="10" t="s">
        <v>53</v>
      </c>
      <c r="P6" s="10" t="s">
        <v>54</v>
      </c>
      <c r="Q6" s="10" t="s">
        <v>54</v>
      </c>
      <c r="R6" s="10" t="s">
        <v>54</v>
      </c>
      <c r="S6" s="10" t="str">
        <f t="shared" si="1"/>
        <v>Scheduled</v>
      </c>
      <c r="T6" s="12">
        <f t="shared" si="2"/>
        <v>0.625</v>
      </c>
      <c r="U6" s="10">
        <f t="shared" si="3"/>
        <v>-12</v>
      </c>
      <c r="V6" s="10"/>
      <c r="W6" s="10">
        <v>120.0</v>
      </c>
      <c r="X6" s="10">
        <v>6.0</v>
      </c>
      <c r="Y6" s="13">
        <f t="shared" si="4"/>
        <v>0.05</v>
      </c>
      <c r="Z6" s="10" t="str">
        <f t="shared" si="5"/>
        <v>2026-03</v>
      </c>
      <c r="AA6" s="10" t="s">
        <v>76</v>
      </c>
      <c r="AB6" s="10" t="s">
        <v>77</v>
      </c>
      <c r="AC6" s="10"/>
      <c r="AD6" s="10" t="s">
        <v>78</v>
      </c>
      <c r="AE6" s="11">
        <v>46088.0</v>
      </c>
    </row>
    <row r="7">
      <c r="A7" s="10" t="s">
        <v>79</v>
      </c>
      <c r="B7" s="10" t="s">
        <v>46</v>
      </c>
      <c r="C7" s="10" t="s">
        <v>72</v>
      </c>
      <c r="D7" s="10" t="s">
        <v>73</v>
      </c>
      <c r="E7" s="10" t="s">
        <v>80</v>
      </c>
      <c r="F7" s="10" t="s">
        <v>81</v>
      </c>
      <c r="G7" s="10" t="s">
        <v>60</v>
      </c>
      <c r="H7" s="10" t="s">
        <v>67</v>
      </c>
      <c r="I7" s="11">
        <v>46087.0</v>
      </c>
      <c r="J7" s="11">
        <v>46099.0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tr">
        <f t="shared" si="1"/>
        <v>Backlog</v>
      </c>
      <c r="T7" s="12">
        <f t="shared" si="2"/>
        <v>0</v>
      </c>
      <c r="U7" s="10">
        <f t="shared" si="3"/>
        <v>-9</v>
      </c>
      <c r="V7" s="10"/>
      <c r="W7" s="10">
        <v>0.0</v>
      </c>
      <c r="X7" s="10">
        <v>0.0</v>
      </c>
      <c r="Y7" s="13" t="str">
        <f t="shared" si="4"/>
        <v/>
      </c>
      <c r="Z7" s="10" t="str">
        <f t="shared" si="5"/>
        <v>2026-03</v>
      </c>
      <c r="AA7" s="10" t="s">
        <v>82</v>
      </c>
      <c r="AB7" s="10" t="s">
        <v>83</v>
      </c>
      <c r="AC7" s="10"/>
      <c r="AD7" s="10" t="s">
        <v>84</v>
      </c>
      <c r="AE7" s="11">
        <v>46088.0</v>
      </c>
    </row>
    <row r="8">
      <c r="A8" s="10"/>
      <c r="B8" s="10"/>
      <c r="C8" s="10"/>
      <c r="D8" s="10"/>
      <c r="E8" s="10"/>
      <c r="F8" s="10"/>
      <c r="G8" s="10"/>
      <c r="H8" s="10"/>
      <c r="I8" s="11"/>
      <c r="J8" s="11"/>
      <c r="K8" s="10"/>
      <c r="L8" s="10"/>
      <c r="M8" s="10"/>
      <c r="N8" s="10"/>
      <c r="O8" s="10"/>
      <c r="P8" s="10"/>
      <c r="Q8" s="10"/>
      <c r="R8" s="10"/>
      <c r="S8" s="10" t="str">
        <f t="shared" si="1"/>
        <v/>
      </c>
      <c r="T8" s="12" t="str">
        <f t="shared" si="2"/>
        <v/>
      </c>
      <c r="U8" s="10" t="str">
        <f t="shared" si="3"/>
        <v/>
      </c>
      <c r="V8" s="10"/>
      <c r="W8" s="10"/>
      <c r="X8" s="10"/>
      <c r="Y8" s="13" t="str">
        <f t="shared" si="4"/>
        <v/>
      </c>
      <c r="Z8" s="10" t="str">
        <f t="shared" si="5"/>
        <v/>
      </c>
      <c r="AA8" s="10"/>
      <c r="AB8" s="10"/>
      <c r="AC8" s="10"/>
      <c r="AD8" s="10"/>
      <c r="AE8" s="11"/>
    </row>
    <row r="9">
      <c r="A9" s="10"/>
      <c r="B9" s="10"/>
      <c r="C9" s="10"/>
      <c r="D9" s="10"/>
      <c r="E9" s="10"/>
      <c r="F9" s="10"/>
      <c r="G9" s="10"/>
      <c r="H9" s="10"/>
      <c r="I9" s="11"/>
      <c r="J9" s="11"/>
      <c r="K9" s="10"/>
      <c r="L9" s="10"/>
      <c r="M9" s="10"/>
      <c r="N9" s="10"/>
      <c r="O9" s="10"/>
      <c r="P9" s="10"/>
      <c r="Q9" s="10"/>
      <c r="R9" s="10"/>
      <c r="S9" s="10" t="str">
        <f t="shared" si="1"/>
        <v/>
      </c>
      <c r="T9" s="12" t="str">
        <f t="shared" si="2"/>
        <v/>
      </c>
      <c r="U9" s="10" t="str">
        <f t="shared" si="3"/>
        <v/>
      </c>
      <c r="V9" s="10"/>
      <c r="W9" s="10"/>
      <c r="X9" s="10"/>
      <c r="Y9" s="13" t="str">
        <f t="shared" si="4"/>
        <v/>
      </c>
      <c r="Z9" s="10" t="str">
        <f t="shared" si="5"/>
        <v/>
      </c>
      <c r="AA9" s="10"/>
      <c r="AB9" s="10"/>
      <c r="AC9" s="10"/>
      <c r="AD9" s="10"/>
      <c r="AE9" s="11"/>
    </row>
    <row r="10">
      <c r="A10" s="10"/>
      <c r="B10" s="10"/>
      <c r="C10" s="10"/>
      <c r="D10" s="10"/>
      <c r="E10" s="10"/>
      <c r="F10" s="10"/>
      <c r="G10" s="10"/>
      <c r="H10" s="10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 t="str">
        <f t="shared" si="1"/>
        <v/>
      </c>
      <c r="T10" s="12" t="str">
        <f t="shared" si="2"/>
        <v/>
      </c>
      <c r="U10" s="10" t="str">
        <f t="shared" si="3"/>
        <v/>
      </c>
      <c r="V10" s="10"/>
      <c r="W10" s="10"/>
      <c r="X10" s="10"/>
      <c r="Y10" s="13" t="str">
        <f t="shared" si="4"/>
        <v/>
      </c>
      <c r="Z10" s="10" t="str">
        <f t="shared" si="5"/>
        <v/>
      </c>
      <c r="AA10" s="10"/>
      <c r="AB10" s="10"/>
      <c r="AC10" s="10"/>
      <c r="AD10" s="10"/>
      <c r="AE10" s="11"/>
    </row>
    <row r="11">
      <c r="A11" s="10"/>
      <c r="B11" s="10"/>
      <c r="C11" s="10"/>
      <c r="D11" s="10"/>
      <c r="E11" s="10"/>
      <c r="F11" s="10"/>
      <c r="G11" s="10"/>
      <c r="H11" s="10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 t="str">
        <f t="shared" si="1"/>
        <v/>
      </c>
      <c r="T11" s="12" t="str">
        <f t="shared" si="2"/>
        <v/>
      </c>
      <c r="U11" s="10" t="str">
        <f t="shared" si="3"/>
        <v/>
      </c>
      <c r="V11" s="10"/>
      <c r="W11" s="10"/>
      <c r="X11" s="10"/>
      <c r="Y11" s="13" t="str">
        <f t="shared" si="4"/>
        <v/>
      </c>
      <c r="Z11" s="10" t="str">
        <f t="shared" si="5"/>
        <v/>
      </c>
      <c r="AA11" s="10"/>
      <c r="AB11" s="10"/>
      <c r="AC11" s="10"/>
      <c r="AD11" s="10"/>
      <c r="AE11" s="11"/>
    </row>
    <row r="12">
      <c r="A12" s="10"/>
      <c r="B12" s="10"/>
      <c r="C12" s="10"/>
      <c r="D12" s="10"/>
      <c r="E12" s="10"/>
      <c r="F12" s="10"/>
      <c r="G12" s="10"/>
      <c r="H12" s="10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 t="str">
        <f t="shared" si="1"/>
        <v/>
      </c>
      <c r="T12" s="12" t="str">
        <f t="shared" si="2"/>
        <v/>
      </c>
      <c r="U12" s="10" t="str">
        <f t="shared" si="3"/>
        <v/>
      </c>
      <c r="V12" s="10"/>
      <c r="W12" s="10"/>
      <c r="X12" s="10"/>
      <c r="Y12" s="13" t="str">
        <f t="shared" si="4"/>
        <v/>
      </c>
      <c r="Z12" s="10" t="str">
        <f t="shared" si="5"/>
        <v/>
      </c>
      <c r="AA12" s="10"/>
      <c r="AB12" s="10"/>
      <c r="AC12" s="10"/>
      <c r="AD12" s="10"/>
      <c r="AE12" s="11"/>
    </row>
    <row r="13">
      <c r="A13" s="10"/>
      <c r="B13" s="10"/>
      <c r="C13" s="10"/>
      <c r="D13" s="10"/>
      <c r="E13" s="10"/>
      <c r="F13" s="10"/>
      <c r="G13" s="10"/>
      <c r="H13" s="10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 t="str">
        <f t="shared" si="1"/>
        <v/>
      </c>
      <c r="T13" s="12" t="str">
        <f t="shared" si="2"/>
        <v/>
      </c>
      <c r="U13" s="10" t="str">
        <f t="shared" si="3"/>
        <v/>
      </c>
      <c r="V13" s="10"/>
      <c r="W13" s="10"/>
      <c r="X13" s="10"/>
      <c r="Y13" s="13" t="str">
        <f t="shared" si="4"/>
        <v/>
      </c>
      <c r="Z13" s="10" t="str">
        <f t="shared" si="5"/>
        <v/>
      </c>
      <c r="AA13" s="10"/>
      <c r="AB13" s="10"/>
      <c r="AC13" s="10"/>
      <c r="AD13" s="10"/>
      <c r="AE13" s="11"/>
    </row>
    <row r="14">
      <c r="A14" s="10"/>
      <c r="B14" s="10"/>
      <c r="C14" s="10"/>
      <c r="D14" s="10"/>
      <c r="E14" s="10"/>
      <c r="F14" s="10"/>
      <c r="G14" s="10"/>
      <c r="H14" s="10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 t="str">
        <f t="shared" si="1"/>
        <v/>
      </c>
      <c r="T14" s="12" t="str">
        <f t="shared" si="2"/>
        <v/>
      </c>
      <c r="U14" s="10" t="str">
        <f t="shared" si="3"/>
        <v/>
      </c>
      <c r="V14" s="10"/>
      <c r="W14" s="10"/>
      <c r="X14" s="10"/>
      <c r="Y14" s="13" t="str">
        <f t="shared" si="4"/>
        <v/>
      </c>
      <c r="Z14" s="10" t="str">
        <f t="shared" si="5"/>
        <v/>
      </c>
      <c r="AA14" s="10"/>
      <c r="AB14" s="10"/>
      <c r="AC14" s="10"/>
      <c r="AD14" s="10"/>
      <c r="AE14" s="11"/>
    </row>
    <row r="15">
      <c r="A15" s="10"/>
      <c r="B15" s="10"/>
      <c r="C15" s="10"/>
      <c r="D15" s="10"/>
      <c r="E15" s="10"/>
      <c r="F15" s="10"/>
      <c r="G15" s="10"/>
      <c r="H15" s="10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 t="str">
        <f t="shared" si="1"/>
        <v/>
      </c>
      <c r="T15" s="12" t="str">
        <f t="shared" si="2"/>
        <v/>
      </c>
      <c r="U15" s="10" t="str">
        <f t="shared" si="3"/>
        <v/>
      </c>
      <c r="V15" s="10"/>
      <c r="W15" s="10"/>
      <c r="X15" s="10"/>
      <c r="Y15" s="13" t="str">
        <f t="shared" si="4"/>
        <v/>
      </c>
      <c r="Z15" s="10" t="str">
        <f t="shared" si="5"/>
        <v/>
      </c>
      <c r="AA15" s="10"/>
      <c r="AB15" s="10"/>
      <c r="AC15" s="10"/>
      <c r="AD15" s="10"/>
      <c r="AE15" s="11"/>
    </row>
    <row r="16">
      <c r="A16" s="10"/>
      <c r="B16" s="10"/>
      <c r="C16" s="10"/>
      <c r="D16" s="10"/>
      <c r="E16" s="10"/>
      <c r="F16" s="10"/>
      <c r="G16" s="10"/>
      <c r="H16" s="10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 t="str">
        <f t="shared" si="1"/>
        <v/>
      </c>
      <c r="T16" s="12" t="str">
        <f t="shared" si="2"/>
        <v/>
      </c>
      <c r="U16" s="10" t="str">
        <f t="shared" si="3"/>
        <v/>
      </c>
      <c r="V16" s="10"/>
      <c r="W16" s="10"/>
      <c r="X16" s="10"/>
      <c r="Y16" s="13" t="str">
        <f t="shared" si="4"/>
        <v/>
      </c>
      <c r="Z16" s="10" t="str">
        <f t="shared" si="5"/>
        <v/>
      </c>
      <c r="AA16" s="10"/>
      <c r="AB16" s="10"/>
      <c r="AC16" s="10"/>
      <c r="AD16" s="10"/>
      <c r="AE16" s="11"/>
    </row>
    <row r="17">
      <c r="A17" s="10"/>
      <c r="B17" s="10"/>
      <c r="C17" s="10"/>
      <c r="D17" s="10"/>
      <c r="E17" s="10"/>
      <c r="F17" s="10"/>
      <c r="G17" s="10"/>
      <c r="H17" s="10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 t="str">
        <f t="shared" si="1"/>
        <v/>
      </c>
      <c r="T17" s="12" t="str">
        <f t="shared" si="2"/>
        <v/>
      </c>
      <c r="U17" s="10" t="str">
        <f t="shared" si="3"/>
        <v/>
      </c>
      <c r="V17" s="10"/>
      <c r="W17" s="10"/>
      <c r="X17" s="10"/>
      <c r="Y17" s="13" t="str">
        <f t="shared" si="4"/>
        <v/>
      </c>
      <c r="Z17" s="10" t="str">
        <f t="shared" si="5"/>
        <v/>
      </c>
      <c r="AA17" s="10"/>
      <c r="AB17" s="10"/>
      <c r="AC17" s="10"/>
      <c r="AD17" s="10"/>
      <c r="AE17" s="11"/>
    </row>
    <row r="18">
      <c r="A18" s="10"/>
      <c r="B18" s="10"/>
      <c r="C18" s="10"/>
      <c r="D18" s="10"/>
      <c r="E18" s="10"/>
      <c r="F18" s="10"/>
      <c r="G18" s="10"/>
      <c r="H18" s="10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 t="str">
        <f t="shared" si="1"/>
        <v/>
      </c>
      <c r="T18" s="12" t="str">
        <f t="shared" si="2"/>
        <v/>
      </c>
      <c r="U18" s="10" t="str">
        <f t="shared" si="3"/>
        <v/>
      </c>
      <c r="V18" s="10"/>
      <c r="W18" s="10"/>
      <c r="X18" s="10"/>
      <c r="Y18" s="13" t="str">
        <f t="shared" si="4"/>
        <v/>
      </c>
      <c r="Z18" s="10" t="str">
        <f t="shared" si="5"/>
        <v/>
      </c>
      <c r="AA18" s="10"/>
      <c r="AB18" s="10"/>
      <c r="AC18" s="10"/>
      <c r="AD18" s="10"/>
      <c r="AE18" s="11"/>
    </row>
    <row r="19">
      <c r="A19" s="10"/>
      <c r="B19" s="10"/>
      <c r="C19" s="10"/>
      <c r="D19" s="10"/>
      <c r="E19" s="10"/>
      <c r="F19" s="10"/>
      <c r="G19" s="10"/>
      <c r="H19" s="10"/>
      <c r="I19" s="11"/>
      <c r="J19" s="11"/>
      <c r="K19" s="10"/>
      <c r="L19" s="10"/>
      <c r="M19" s="10"/>
      <c r="N19" s="10"/>
      <c r="O19" s="10"/>
      <c r="P19" s="10"/>
      <c r="Q19" s="10"/>
      <c r="R19" s="10"/>
      <c r="S19" s="10" t="str">
        <f t="shared" si="1"/>
        <v/>
      </c>
      <c r="T19" s="12" t="str">
        <f t="shared" si="2"/>
        <v/>
      </c>
      <c r="U19" s="10" t="str">
        <f t="shared" si="3"/>
        <v/>
      </c>
      <c r="V19" s="10"/>
      <c r="W19" s="10"/>
      <c r="X19" s="10"/>
      <c r="Y19" s="13" t="str">
        <f t="shared" si="4"/>
        <v/>
      </c>
      <c r="Z19" s="10" t="str">
        <f t="shared" si="5"/>
        <v/>
      </c>
      <c r="AA19" s="10"/>
      <c r="AB19" s="10"/>
      <c r="AC19" s="10"/>
      <c r="AD19" s="10"/>
      <c r="AE19" s="11"/>
    </row>
    <row r="20">
      <c r="A20" s="10"/>
      <c r="B20" s="10"/>
      <c r="C20" s="10"/>
      <c r="D20" s="10"/>
      <c r="E20" s="10"/>
      <c r="F20" s="10"/>
      <c r="G20" s="10"/>
      <c r="H20" s="10"/>
      <c r="I20" s="11"/>
      <c r="J20" s="11"/>
      <c r="K20" s="10"/>
      <c r="L20" s="10"/>
      <c r="M20" s="10"/>
      <c r="N20" s="10"/>
      <c r="O20" s="10"/>
      <c r="P20" s="10"/>
      <c r="Q20" s="10"/>
      <c r="R20" s="10"/>
      <c r="S20" s="10" t="str">
        <f t="shared" si="1"/>
        <v/>
      </c>
      <c r="T20" s="12" t="str">
        <f t="shared" si="2"/>
        <v/>
      </c>
      <c r="U20" s="10" t="str">
        <f t="shared" si="3"/>
        <v/>
      </c>
      <c r="V20" s="10"/>
      <c r="W20" s="10"/>
      <c r="X20" s="10"/>
      <c r="Y20" s="13" t="str">
        <f t="shared" si="4"/>
        <v/>
      </c>
      <c r="Z20" s="10" t="str">
        <f t="shared" si="5"/>
        <v/>
      </c>
      <c r="AA20" s="10"/>
      <c r="AB20" s="10"/>
      <c r="AC20" s="10"/>
      <c r="AD20" s="10"/>
      <c r="AE20" s="11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1"/>
      <c r="J21" s="11"/>
      <c r="K21" s="10"/>
      <c r="L21" s="10"/>
      <c r="M21" s="10"/>
      <c r="N21" s="10"/>
      <c r="O21" s="10"/>
      <c r="P21" s="10"/>
      <c r="Q21" s="10"/>
      <c r="R21" s="10"/>
      <c r="S21" s="10" t="str">
        <f t="shared" si="1"/>
        <v/>
      </c>
      <c r="T21" s="12" t="str">
        <f t="shared" si="2"/>
        <v/>
      </c>
      <c r="U21" s="10" t="str">
        <f t="shared" si="3"/>
        <v/>
      </c>
      <c r="V21" s="10"/>
      <c r="W21" s="10"/>
      <c r="X21" s="10"/>
      <c r="Y21" s="13" t="str">
        <f t="shared" si="4"/>
        <v/>
      </c>
      <c r="Z21" s="10" t="str">
        <f t="shared" si="5"/>
        <v/>
      </c>
      <c r="AA21" s="10"/>
      <c r="AB21" s="10"/>
      <c r="AC21" s="10"/>
      <c r="AD21" s="10"/>
      <c r="AE21" s="11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1"/>
      <c r="J22" s="11"/>
      <c r="K22" s="10"/>
      <c r="L22" s="10"/>
      <c r="M22" s="10"/>
      <c r="N22" s="10"/>
      <c r="O22" s="10"/>
      <c r="P22" s="10"/>
      <c r="Q22" s="10"/>
      <c r="R22" s="10"/>
      <c r="S22" s="10" t="str">
        <f t="shared" si="1"/>
        <v/>
      </c>
      <c r="T22" s="12" t="str">
        <f t="shared" si="2"/>
        <v/>
      </c>
      <c r="U22" s="10" t="str">
        <f t="shared" si="3"/>
        <v/>
      </c>
      <c r="V22" s="10"/>
      <c r="W22" s="10"/>
      <c r="X22" s="10"/>
      <c r="Y22" s="13" t="str">
        <f t="shared" si="4"/>
        <v/>
      </c>
      <c r="Z22" s="10" t="str">
        <f t="shared" si="5"/>
        <v/>
      </c>
      <c r="AA22" s="10"/>
      <c r="AB22" s="10"/>
      <c r="AC22" s="10"/>
      <c r="AD22" s="10"/>
      <c r="AE22" s="11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1"/>
      <c r="J23" s="11"/>
      <c r="K23" s="10"/>
      <c r="L23" s="10"/>
      <c r="M23" s="10"/>
      <c r="N23" s="10"/>
      <c r="O23" s="10"/>
      <c r="P23" s="10"/>
      <c r="Q23" s="10"/>
      <c r="R23" s="10"/>
      <c r="S23" s="10" t="str">
        <f t="shared" si="1"/>
        <v/>
      </c>
      <c r="T23" s="12" t="str">
        <f t="shared" si="2"/>
        <v/>
      </c>
      <c r="U23" s="10" t="str">
        <f t="shared" si="3"/>
        <v/>
      </c>
      <c r="V23" s="10"/>
      <c r="W23" s="10"/>
      <c r="X23" s="10"/>
      <c r="Y23" s="13" t="str">
        <f t="shared" si="4"/>
        <v/>
      </c>
      <c r="Z23" s="10" t="str">
        <f t="shared" si="5"/>
        <v/>
      </c>
      <c r="AA23" s="10"/>
      <c r="AB23" s="10"/>
      <c r="AC23" s="10"/>
      <c r="AD23" s="10"/>
      <c r="AE23" s="11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1"/>
      <c r="J24" s="11"/>
      <c r="K24" s="10"/>
      <c r="L24" s="10"/>
      <c r="M24" s="10"/>
      <c r="N24" s="10"/>
      <c r="O24" s="10"/>
      <c r="P24" s="10"/>
      <c r="Q24" s="10"/>
      <c r="R24" s="10"/>
      <c r="S24" s="10" t="str">
        <f t="shared" si="1"/>
        <v/>
      </c>
      <c r="T24" s="12" t="str">
        <f t="shared" si="2"/>
        <v/>
      </c>
      <c r="U24" s="10" t="str">
        <f t="shared" si="3"/>
        <v/>
      </c>
      <c r="V24" s="10"/>
      <c r="W24" s="10"/>
      <c r="X24" s="10"/>
      <c r="Y24" s="13" t="str">
        <f t="shared" si="4"/>
        <v/>
      </c>
      <c r="Z24" s="10" t="str">
        <f t="shared" si="5"/>
        <v/>
      </c>
      <c r="AA24" s="10"/>
      <c r="AB24" s="10"/>
      <c r="AC24" s="10"/>
      <c r="AD24" s="10"/>
      <c r="AE24" s="11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1"/>
      <c r="J25" s="11"/>
      <c r="K25" s="10"/>
      <c r="L25" s="10"/>
      <c r="M25" s="10"/>
      <c r="N25" s="10"/>
      <c r="O25" s="10"/>
      <c r="P25" s="10"/>
      <c r="Q25" s="10"/>
      <c r="R25" s="10"/>
      <c r="S25" s="10" t="str">
        <f t="shared" si="1"/>
        <v/>
      </c>
      <c r="T25" s="12" t="str">
        <f t="shared" si="2"/>
        <v/>
      </c>
      <c r="U25" s="10" t="str">
        <f t="shared" si="3"/>
        <v/>
      </c>
      <c r="V25" s="10"/>
      <c r="W25" s="10"/>
      <c r="X25" s="10"/>
      <c r="Y25" s="13" t="str">
        <f t="shared" si="4"/>
        <v/>
      </c>
      <c r="Z25" s="10" t="str">
        <f t="shared" si="5"/>
        <v/>
      </c>
      <c r="AA25" s="10"/>
      <c r="AB25" s="10"/>
      <c r="AC25" s="10"/>
      <c r="AD25" s="10"/>
      <c r="AE25" s="11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1"/>
      <c r="J26" s="11"/>
      <c r="K26" s="10"/>
      <c r="L26" s="10"/>
      <c r="M26" s="10"/>
      <c r="N26" s="10"/>
      <c r="O26" s="10"/>
      <c r="P26" s="10"/>
      <c r="Q26" s="10"/>
      <c r="R26" s="10"/>
      <c r="S26" s="10" t="str">
        <f t="shared" si="1"/>
        <v/>
      </c>
      <c r="T26" s="12" t="str">
        <f t="shared" si="2"/>
        <v/>
      </c>
      <c r="U26" s="10" t="str">
        <f t="shared" si="3"/>
        <v/>
      </c>
      <c r="V26" s="10"/>
      <c r="W26" s="10"/>
      <c r="X26" s="10"/>
      <c r="Y26" s="13" t="str">
        <f t="shared" si="4"/>
        <v/>
      </c>
      <c r="Z26" s="10" t="str">
        <f t="shared" si="5"/>
        <v/>
      </c>
      <c r="AA26" s="10"/>
      <c r="AB26" s="10"/>
      <c r="AC26" s="10"/>
      <c r="AD26" s="10"/>
      <c r="AE26" s="11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1"/>
      <c r="J27" s="11"/>
      <c r="K27" s="10"/>
      <c r="L27" s="10"/>
      <c r="M27" s="10"/>
      <c r="N27" s="10"/>
      <c r="O27" s="10"/>
      <c r="P27" s="10"/>
      <c r="Q27" s="10"/>
      <c r="R27" s="10"/>
      <c r="S27" s="10" t="str">
        <f t="shared" si="1"/>
        <v/>
      </c>
      <c r="T27" s="12" t="str">
        <f t="shared" si="2"/>
        <v/>
      </c>
      <c r="U27" s="10" t="str">
        <f t="shared" si="3"/>
        <v/>
      </c>
      <c r="V27" s="10"/>
      <c r="W27" s="10"/>
      <c r="X27" s="10"/>
      <c r="Y27" s="13" t="str">
        <f t="shared" si="4"/>
        <v/>
      </c>
      <c r="Z27" s="10" t="str">
        <f t="shared" si="5"/>
        <v/>
      </c>
      <c r="AA27" s="10"/>
      <c r="AB27" s="10"/>
      <c r="AC27" s="10"/>
      <c r="AD27" s="10"/>
      <c r="AE27" s="11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1"/>
      <c r="J28" s="11"/>
      <c r="K28" s="10"/>
      <c r="L28" s="10"/>
      <c r="M28" s="10"/>
      <c r="N28" s="10"/>
      <c r="O28" s="10"/>
      <c r="P28" s="10"/>
      <c r="Q28" s="10"/>
      <c r="R28" s="10"/>
      <c r="S28" s="10" t="str">
        <f t="shared" si="1"/>
        <v/>
      </c>
      <c r="T28" s="12" t="str">
        <f t="shared" si="2"/>
        <v/>
      </c>
      <c r="U28" s="10" t="str">
        <f t="shared" si="3"/>
        <v/>
      </c>
      <c r="V28" s="10"/>
      <c r="W28" s="10"/>
      <c r="X28" s="10"/>
      <c r="Y28" s="13" t="str">
        <f t="shared" si="4"/>
        <v/>
      </c>
      <c r="Z28" s="10" t="str">
        <f t="shared" si="5"/>
        <v/>
      </c>
      <c r="AA28" s="10"/>
      <c r="AB28" s="10"/>
      <c r="AC28" s="10"/>
      <c r="AD28" s="10"/>
      <c r="AE28" s="11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1"/>
      <c r="J29" s="11"/>
      <c r="K29" s="10"/>
      <c r="L29" s="10"/>
      <c r="M29" s="10"/>
      <c r="N29" s="10"/>
      <c r="O29" s="10"/>
      <c r="P29" s="10"/>
      <c r="Q29" s="10"/>
      <c r="R29" s="10"/>
      <c r="S29" s="10" t="str">
        <f t="shared" si="1"/>
        <v/>
      </c>
      <c r="T29" s="12" t="str">
        <f t="shared" si="2"/>
        <v/>
      </c>
      <c r="U29" s="10" t="str">
        <f t="shared" si="3"/>
        <v/>
      </c>
      <c r="V29" s="10"/>
      <c r="W29" s="10"/>
      <c r="X29" s="10"/>
      <c r="Y29" s="13" t="str">
        <f t="shared" si="4"/>
        <v/>
      </c>
      <c r="Z29" s="10" t="str">
        <f t="shared" si="5"/>
        <v/>
      </c>
      <c r="AA29" s="10"/>
      <c r="AB29" s="10"/>
      <c r="AC29" s="10"/>
      <c r="AD29" s="10"/>
      <c r="AE29" s="11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1"/>
      <c r="J30" s="11"/>
      <c r="K30" s="10"/>
      <c r="L30" s="10"/>
      <c r="M30" s="10"/>
      <c r="N30" s="10"/>
      <c r="O30" s="10"/>
      <c r="P30" s="10"/>
      <c r="Q30" s="10"/>
      <c r="R30" s="10"/>
      <c r="S30" s="10" t="str">
        <f t="shared" si="1"/>
        <v/>
      </c>
      <c r="T30" s="12" t="str">
        <f t="shared" si="2"/>
        <v/>
      </c>
      <c r="U30" s="10" t="str">
        <f t="shared" si="3"/>
        <v/>
      </c>
      <c r="V30" s="10"/>
      <c r="W30" s="10"/>
      <c r="X30" s="10"/>
      <c r="Y30" s="13" t="str">
        <f t="shared" si="4"/>
        <v/>
      </c>
      <c r="Z30" s="10" t="str">
        <f t="shared" si="5"/>
        <v/>
      </c>
      <c r="AA30" s="10"/>
      <c r="AB30" s="10"/>
      <c r="AC30" s="10"/>
      <c r="AD30" s="10"/>
      <c r="AE30" s="11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1"/>
      <c r="J31" s="11"/>
      <c r="K31" s="10"/>
      <c r="L31" s="10"/>
      <c r="M31" s="10"/>
      <c r="N31" s="10"/>
      <c r="O31" s="10"/>
      <c r="P31" s="10"/>
      <c r="Q31" s="10"/>
      <c r="R31" s="10"/>
      <c r="S31" s="10" t="str">
        <f t="shared" si="1"/>
        <v/>
      </c>
      <c r="T31" s="12" t="str">
        <f t="shared" si="2"/>
        <v/>
      </c>
      <c r="U31" s="10" t="str">
        <f t="shared" si="3"/>
        <v/>
      </c>
      <c r="V31" s="10"/>
      <c r="W31" s="10"/>
      <c r="X31" s="10"/>
      <c r="Y31" s="13" t="str">
        <f t="shared" si="4"/>
        <v/>
      </c>
      <c r="Z31" s="10" t="str">
        <f t="shared" si="5"/>
        <v/>
      </c>
      <c r="AA31" s="10"/>
      <c r="AB31" s="10"/>
      <c r="AC31" s="10"/>
      <c r="AD31" s="10"/>
      <c r="AE31" s="11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1"/>
      <c r="J32" s="11"/>
      <c r="K32" s="10"/>
      <c r="L32" s="10"/>
      <c r="M32" s="10"/>
      <c r="N32" s="10"/>
      <c r="O32" s="10"/>
      <c r="P32" s="10"/>
      <c r="Q32" s="10"/>
      <c r="R32" s="10"/>
      <c r="S32" s="10" t="str">
        <f t="shared" si="1"/>
        <v/>
      </c>
      <c r="T32" s="12" t="str">
        <f t="shared" si="2"/>
        <v/>
      </c>
      <c r="U32" s="10" t="str">
        <f t="shared" si="3"/>
        <v/>
      </c>
      <c r="V32" s="10"/>
      <c r="W32" s="10"/>
      <c r="X32" s="10"/>
      <c r="Y32" s="13" t="str">
        <f t="shared" si="4"/>
        <v/>
      </c>
      <c r="Z32" s="10" t="str">
        <f t="shared" si="5"/>
        <v/>
      </c>
      <c r="AA32" s="10"/>
      <c r="AB32" s="10"/>
      <c r="AC32" s="10"/>
      <c r="AD32" s="10"/>
      <c r="AE32" s="11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1"/>
      <c r="J33" s="11"/>
      <c r="K33" s="10"/>
      <c r="L33" s="10"/>
      <c r="M33" s="10"/>
      <c r="N33" s="10"/>
      <c r="O33" s="10"/>
      <c r="P33" s="10"/>
      <c r="Q33" s="10"/>
      <c r="R33" s="10"/>
      <c r="S33" s="10" t="str">
        <f t="shared" si="1"/>
        <v/>
      </c>
      <c r="T33" s="12" t="str">
        <f t="shared" si="2"/>
        <v/>
      </c>
      <c r="U33" s="10" t="str">
        <f t="shared" si="3"/>
        <v/>
      </c>
      <c r="V33" s="10"/>
      <c r="W33" s="10"/>
      <c r="X33" s="10"/>
      <c r="Y33" s="13" t="str">
        <f t="shared" si="4"/>
        <v/>
      </c>
      <c r="Z33" s="10" t="str">
        <f t="shared" si="5"/>
        <v/>
      </c>
      <c r="AA33" s="10"/>
      <c r="AB33" s="10"/>
      <c r="AC33" s="10"/>
      <c r="AD33" s="10"/>
      <c r="AE33" s="11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1"/>
      <c r="J34" s="11"/>
      <c r="K34" s="10"/>
      <c r="L34" s="10"/>
      <c r="M34" s="10"/>
      <c r="N34" s="10"/>
      <c r="O34" s="10"/>
      <c r="P34" s="10"/>
      <c r="Q34" s="10"/>
      <c r="R34" s="10"/>
      <c r="S34" s="10" t="str">
        <f t="shared" si="1"/>
        <v/>
      </c>
      <c r="T34" s="12" t="str">
        <f t="shared" si="2"/>
        <v/>
      </c>
      <c r="U34" s="10" t="str">
        <f t="shared" si="3"/>
        <v/>
      </c>
      <c r="V34" s="10"/>
      <c r="W34" s="10"/>
      <c r="X34" s="10"/>
      <c r="Y34" s="13" t="str">
        <f t="shared" si="4"/>
        <v/>
      </c>
      <c r="Z34" s="10" t="str">
        <f t="shared" si="5"/>
        <v/>
      </c>
      <c r="AA34" s="10"/>
      <c r="AB34" s="10"/>
      <c r="AC34" s="10"/>
      <c r="AD34" s="10"/>
      <c r="AE34" s="11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1"/>
      <c r="J35" s="11"/>
      <c r="K35" s="10"/>
      <c r="L35" s="10"/>
      <c r="M35" s="10"/>
      <c r="N35" s="10"/>
      <c r="O35" s="10"/>
      <c r="P35" s="10"/>
      <c r="Q35" s="10"/>
      <c r="R35" s="10"/>
      <c r="S35" s="10" t="str">
        <f t="shared" si="1"/>
        <v/>
      </c>
      <c r="T35" s="12" t="str">
        <f t="shared" si="2"/>
        <v/>
      </c>
      <c r="U35" s="10" t="str">
        <f t="shared" si="3"/>
        <v/>
      </c>
      <c r="V35" s="10"/>
      <c r="W35" s="10"/>
      <c r="X35" s="10"/>
      <c r="Y35" s="13" t="str">
        <f t="shared" si="4"/>
        <v/>
      </c>
      <c r="Z35" s="10" t="str">
        <f t="shared" si="5"/>
        <v/>
      </c>
      <c r="AA35" s="10"/>
      <c r="AB35" s="10"/>
      <c r="AC35" s="10"/>
      <c r="AD35" s="10"/>
      <c r="AE35" s="11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1"/>
      <c r="J36" s="11"/>
      <c r="K36" s="10"/>
      <c r="L36" s="10"/>
      <c r="M36" s="10"/>
      <c r="N36" s="10"/>
      <c r="O36" s="10"/>
      <c r="P36" s="10"/>
      <c r="Q36" s="10"/>
      <c r="R36" s="10"/>
      <c r="S36" s="10" t="str">
        <f t="shared" si="1"/>
        <v/>
      </c>
      <c r="T36" s="12" t="str">
        <f t="shared" si="2"/>
        <v/>
      </c>
      <c r="U36" s="10" t="str">
        <f t="shared" si="3"/>
        <v/>
      </c>
      <c r="V36" s="10"/>
      <c r="W36" s="10"/>
      <c r="X36" s="10"/>
      <c r="Y36" s="13" t="str">
        <f t="shared" si="4"/>
        <v/>
      </c>
      <c r="Z36" s="10" t="str">
        <f t="shared" si="5"/>
        <v/>
      </c>
      <c r="AA36" s="10"/>
      <c r="AB36" s="10"/>
      <c r="AC36" s="10"/>
      <c r="AD36" s="10"/>
      <c r="AE36" s="11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1"/>
      <c r="J37" s="11"/>
      <c r="K37" s="10"/>
      <c r="L37" s="10"/>
      <c r="M37" s="10"/>
      <c r="N37" s="10"/>
      <c r="O37" s="10"/>
      <c r="P37" s="10"/>
      <c r="Q37" s="10"/>
      <c r="R37" s="10"/>
      <c r="S37" s="10" t="str">
        <f t="shared" si="1"/>
        <v/>
      </c>
      <c r="T37" s="12" t="str">
        <f t="shared" si="2"/>
        <v/>
      </c>
      <c r="U37" s="10" t="str">
        <f t="shared" si="3"/>
        <v/>
      </c>
      <c r="V37" s="10"/>
      <c r="W37" s="10"/>
      <c r="X37" s="10"/>
      <c r="Y37" s="13" t="str">
        <f t="shared" si="4"/>
        <v/>
      </c>
      <c r="Z37" s="10" t="str">
        <f t="shared" si="5"/>
        <v/>
      </c>
      <c r="AA37" s="10"/>
      <c r="AB37" s="10"/>
      <c r="AC37" s="10"/>
      <c r="AD37" s="10"/>
      <c r="AE37" s="11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1"/>
      <c r="J38" s="11"/>
      <c r="K38" s="10"/>
      <c r="L38" s="10"/>
      <c r="M38" s="10"/>
      <c r="N38" s="10"/>
      <c r="O38" s="10"/>
      <c r="P38" s="10"/>
      <c r="Q38" s="10"/>
      <c r="R38" s="10"/>
      <c r="S38" s="10" t="str">
        <f t="shared" si="1"/>
        <v/>
      </c>
      <c r="T38" s="12" t="str">
        <f t="shared" si="2"/>
        <v/>
      </c>
      <c r="U38" s="10" t="str">
        <f t="shared" si="3"/>
        <v/>
      </c>
      <c r="V38" s="10"/>
      <c r="W38" s="10"/>
      <c r="X38" s="10"/>
      <c r="Y38" s="13" t="str">
        <f t="shared" si="4"/>
        <v/>
      </c>
      <c r="Z38" s="10" t="str">
        <f t="shared" si="5"/>
        <v/>
      </c>
      <c r="AA38" s="10"/>
      <c r="AB38" s="10"/>
      <c r="AC38" s="10"/>
      <c r="AD38" s="10"/>
      <c r="AE38" s="11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1"/>
      <c r="J39" s="11"/>
      <c r="K39" s="10"/>
      <c r="L39" s="10"/>
      <c r="M39" s="10"/>
      <c r="N39" s="10"/>
      <c r="O39" s="10"/>
      <c r="P39" s="10"/>
      <c r="Q39" s="10"/>
      <c r="R39" s="10"/>
      <c r="S39" s="10" t="str">
        <f t="shared" si="1"/>
        <v/>
      </c>
      <c r="T39" s="12" t="str">
        <f t="shared" si="2"/>
        <v/>
      </c>
      <c r="U39" s="10" t="str">
        <f t="shared" si="3"/>
        <v/>
      </c>
      <c r="V39" s="10"/>
      <c r="W39" s="10"/>
      <c r="X39" s="10"/>
      <c r="Y39" s="13" t="str">
        <f t="shared" si="4"/>
        <v/>
      </c>
      <c r="Z39" s="10" t="str">
        <f t="shared" si="5"/>
        <v/>
      </c>
      <c r="AA39" s="10"/>
      <c r="AB39" s="10"/>
      <c r="AC39" s="10"/>
      <c r="AD39" s="10"/>
      <c r="AE39" s="11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1"/>
      <c r="J40" s="11"/>
      <c r="K40" s="10"/>
      <c r="L40" s="10"/>
      <c r="M40" s="10"/>
      <c r="N40" s="10"/>
      <c r="O40" s="10"/>
      <c r="P40" s="10"/>
      <c r="Q40" s="10"/>
      <c r="R40" s="10"/>
      <c r="S40" s="10" t="str">
        <f t="shared" si="1"/>
        <v/>
      </c>
      <c r="T40" s="12" t="str">
        <f t="shared" si="2"/>
        <v/>
      </c>
      <c r="U40" s="10" t="str">
        <f t="shared" si="3"/>
        <v/>
      </c>
      <c r="V40" s="10"/>
      <c r="W40" s="10"/>
      <c r="X40" s="10"/>
      <c r="Y40" s="13" t="str">
        <f t="shared" si="4"/>
        <v/>
      </c>
      <c r="Z40" s="10" t="str">
        <f t="shared" si="5"/>
        <v/>
      </c>
      <c r="AA40" s="10"/>
      <c r="AB40" s="10"/>
      <c r="AC40" s="10"/>
      <c r="AD40" s="10"/>
      <c r="AE40" s="11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1"/>
      <c r="J41" s="11"/>
      <c r="K41" s="10"/>
      <c r="L41" s="10"/>
      <c r="M41" s="10"/>
      <c r="N41" s="10"/>
      <c r="O41" s="10"/>
      <c r="P41" s="10"/>
      <c r="Q41" s="10"/>
      <c r="R41" s="10"/>
      <c r="S41" s="10" t="str">
        <f t="shared" si="1"/>
        <v/>
      </c>
      <c r="T41" s="12" t="str">
        <f t="shared" si="2"/>
        <v/>
      </c>
      <c r="U41" s="10" t="str">
        <f t="shared" si="3"/>
        <v/>
      </c>
      <c r="V41" s="10"/>
      <c r="W41" s="10"/>
      <c r="X41" s="10"/>
      <c r="Y41" s="13" t="str">
        <f t="shared" si="4"/>
        <v/>
      </c>
      <c r="Z41" s="10" t="str">
        <f t="shared" si="5"/>
        <v/>
      </c>
      <c r="AA41" s="10"/>
      <c r="AB41" s="10"/>
      <c r="AC41" s="10"/>
      <c r="AD41" s="10"/>
      <c r="AE41" s="11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1"/>
      <c r="J42" s="11"/>
      <c r="K42" s="10"/>
      <c r="L42" s="10"/>
      <c r="M42" s="10"/>
      <c r="N42" s="10"/>
      <c r="O42" s="10"/>
      <c r="P42" s="10"/>
      <c r="Q42" s="10"/>
      <c r="R42" s="10"/>
      <c r="S42" s="10" t="str">
        <f t="shared" si="1"/>
        <v/>
      </c>
      <c r="T42" s="12" t="str">
        <f t="shared" si="2"/>
        <v/>
      </c>
      <c r="U42" s="10" t="str">
        <f t="shared" si="3"/>
        <v/>
      </c>
      <c r="V42" s="10"/>
      <c r="W42" s="10"/>
      <c r="X42" s="10"/>
      <c r="Y42" s="13" t="str">
        <f t="shared" si="4"/>
        <v/>
      </c>
      <c r="Z42" s="10" t="str">
        <f t="shared" si="5"/>
        <v/>
      </c>
      <c r="AA42" s="10"/>
      <c r="AB42" s="10"/>
      <c r="AC42" s="10"/>
      <c r="AD42" s="10"/>
      <c r="AE42" s="11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1"/>
      <c r="J43" s="11"/>
      <c r="K43" s="10"/>
      <c r="L43" s="10"/>
      <c r="M43" s="10"/>
      <c r="N43" s="10"/>
      <c r="O43" s="10"/>
      <c r="P43" s="10"/>
      <c r="Q43" s="10"/>
      <c r="R43" s="10"/>
      <c r="S43" s="10" t="str">
        <f t="shared" si="1"/>
        <v/>
      </c>
      <c r="T43" s="12" t="str">
        <f t="shared" si="2"/>
        <v/>
      </c>
      <c r="U43" s="10" t="str">
        <f t="shared" si="3"/>
        <v/>
      </c>
      <c r="V43" s="10"/>
      <c r="W43" s="10"/>
      <c r="X43" s="10"/>
      <c r="Y43" s="13" t="str">
        <f t="shared" si="4"/>
        <v/>
      </c>
      <c r="Z43" s="10" t="str">
        <f t="shared" si="5"/>
        <v/>
      </c>
      <c r="AA43" s="10"/>
      <c r="AB43" s="10"/>
      <c r="AC43" s="10"/>
      <c r="AD43" s="10"/>
      <c r="AE43" s="11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1"/>
      <c r="J44" s="11"/>
      <c r="K44" s="10"/>
      <c r="L44" s="10"/>
      <c r="M44" s="10"/>
      <c r="N44" s="10"/>
      <c r="O44" s="10"/>
      <c r="P44" s="10"/>
      <c r="Q44" s="10"/>
      <c r="R44" s="10"/>
      <c r="S44" s="10" t="str">
        <f t="shared" si="1"/>
        <v/>
      </c>
      <c r="T44" s="12" t="str">
        <f t="shared" si="2"/>
        <v/>
      </c>
      <c r="U44" s="10" t="str">
        <f t="shared" si="3"/>
        <v/>
      </c>
      <c r="V44" s="10"/>
      <c r="W44" s="10"/>
      <c r="X44" s="10"/>
      <c r="Y44" s="13" t="str">
        <f t="shared" si="4"/>
        <v/>
      </c>
      <c r="Z44" s="10" t="str">
        <f t="shared" si="5"/>
        <v/>
      </c>
      <c r="AA44" s="10"/>
      <c r="AB44" s="10"/>
      <c r="AC44" s="10"/>
      <c r="AD44" s="10"/>
      <c r="AE44" s="11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1"/>
      <c r="J45" s="11"/>
      <c r="K45" s="10"/>
      <c r="L45" s="10"/>
      <c r="M45" s="10"/>
      <c r="N45" s="10"/>
      <c r="O45" s="10"/>
      <c r="P45" s="10"/>
      <c r="Q45" s="10"/>
      <c r="R45" s="10"/>
      <c r="S45" s="10" t="str">
        <f t="shared" si="1"/>
        <v/>
      </c>
      <c r="T45" s="12" t="str">
        <f t="shared" si="2"/>
        <v/>
      </c>
      <c r="U45" s="10" t="str">
        <f t="shared" si="3"/>
        <v/>
      </c>
      <c r="V45" s="10"/>
      <c r="W45" s="10"/>
      <c r="X45" s="10"/>
      <c r="Y45" s="13" t="str">
        <f t="shared" si="4"/>
        <v/>
      </c>
      <c r="Z45" s="10" t="str">
        <f t="shared" si="5"/>
        <v/>
      </c>
      <c r="AA45" s="10"/>
      <c r="AB45" s="10"/>
      <c r="AC45" s="10"/>
      <c r="AD45" s="10"/>
      <c r="AE45" s="11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1"/>
      <c r="J46" s="11"/>
      <c r="K46" s="10"/>
      <c r="L46" s="10"/>
      <c r="M46" s="10"/>
      <c r="N46" s="10"/>
      <c r="O46" s="10"/>
      <c r="P46" s="10"/>
      <c r="Q46" s="10"/>
      <c r="R46" s="10"/>
      <c r="S46" s="10" t="str">
        <f t="shared" si="1"/>
        <v/>
      </c>
      <c r="T46" s="12" t="str">
        <f t="shared" si="2"/>
        <v/>
      </c>
      <c r="U46" s="10" t="str">
        <f t="shared" si="3"/>
        <v/>
      </c>
      <c r="V46" s="10"/>
      <c r="W46" s="10"/>
      <c r="X46" s="10"/>
      <c r="Y46" s="13" t="str">
        <f t="shared" si="4"/>
        <v/>
      </c>
      <c r="Z46" s="10" t="str">
        <f t="shared" si="5"/>
        <v/>
      </c>
      <c r="AA46" s="10"/>
      <c r="AB46" s="10"/>
      <c r="AC46" s="10"/>
      <c r="AD46" s="10"/>
      <c r="AE46" s="11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1"/>
      <c r="J47" s="11"/>
      <c r="K47" s="10"/>
      <c r="L47" s="10"/>
      <c r="M47" s="10"/>
      <c r="N47" s="10"/>
      <c r="O47" s="10"/>
      <c r="P47" s="10"/>
      <c r="Q47" s="10"/>
      <c r="R47" s="10"/>
      <c r="S47" s="10" t="str">
        <f t="shared" si="1"/>
        <v/>
      </c>
      <c r="T47" s="12" t="str">
        <f t="shared" si="2"/>
        <v/>
      </c>
      <c r="U47" s="10" t="str">
        <f t="shared" si="3"/>
        <v/>
      </c>
      <c r="V47" s="10"/>
      <c r="W47" s="10"/>
      <c r="X47" s="10"/>
      <c r="Y47" s="13" t="str">
        <f t="shared" si="4"/>
        <v/>
      </c>
      <c r="Z47" s="10" t="str">
        <f t="shared" si="5"/>
        <v/>
      </c>
      <c r="AA47" s="10"/>
      <c r="AB47" s="10"/>
      <c r="AC47" s="10"/>
      <c r="AD47" s="10"/>
      <c r="AE47" s="11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1"/>
      <c r="J48" s="11"/>
      <c r="K48" s="10"/>
      <c r="L48" s="10"/>
      <c r="M48" s="10"/>
      <c r="N48" s="10"/>
      <c r="O48" s="10"/>
      <c r="P48" s="10"/>
      <c r="Q48" s="10"/>
      <c r="R48" s="10"/>
      <c r="S48" s="10" t="str">
        <f t="shared" si="1"/>
        <v/>
      </c>
      <c r="T48" s="12" t="str">
        <f t="shared" si="2"/>
        <v/>
      </c>
      <c r="U48" s="10" t="str">
        <f t="shared" si="3"/>
        <v/>
      </c>
      <c r="V48" s="10"/>
      <c r="W48" s="10"/>
      <c r="X48" s="10"/>
      <c r="Y48" s="13" t="str">
        <f t="shared" si="4"/>
        <v/>
      </c>
      <c r="Z48" s="10" t="str">
        <f t="shared" si="5"/>
        <v/>
      </c>
      <c r="AA48" s="10"/>
      <c r="AB48" s="10"/>
      <c r="AC48" s="10"/>
      <c r="AD48" s="10"/>
      <c r="AE48" s="11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1"/>
      <c r="J49" s="11"/>
      <c r="K49" s="10"/>
      <c r="L49" s="10"/>
      <c r="M49" s="10"/>
      <c r="N49" s="10"/>
      <c r="O49" s="10"/>
      <c r="P49" s="10"/>
      <c r="Q49" s="10"/>
      <c r="R49" s="10"/>
      <c r="S49" s="10" t="str">
        <f t="shared" si="1"/>
        <v/>
      </c>
      <c r="T49" s="12" t="str">
        <f t="shared" si="2"/>
        <v/>
      </c>
      <c r="U49" s="10" t="str">
        <f t="shared" si="3"/>
        <v/>
      </c>
      <c r="V49" s="10"/>
      <c r="W49" s="10"/>
      <c r="X49" s="10"/>
      <c r="Y49" s="13" t="str">
        <f t="shared" si="4"/>
        <v/>
      </c>
      <c r="Z49" s="10" t="str">
        <f t="shared" si="5"/>
        <v/>
      </c>
      <c r="AA49" s="10"/>
      <c r="AB49" s="10"/>
      <c r="AC49" s="10"/>
      <c r="AD49" s="10"/>
      <c r="AE49" s="11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1"/>
      <c r="J50" s="11"/>
      <c r="K50" s="10"/>
      <c r="L50" s="10"/>
      <c r="M50" s="10"/>
      <c r="N50" s="10"/>
      <c r="O50" s="10"/>
      <c r="P50" s="10"/>
      <c r="Q50" s="10"/>
      <c r="R50" s="10"/>
      <c r="S50" s="10" t="str">
        <f t="shared" si="1"/>
        <v/>
      </c>
      <c r="T50" s="12" t="str">
        <f t="shared" si="2"/>
        <v/>
      </c>
      <c r="U50" s="10" t="str">
        <f t="shared" si="3"/>
        <v/>
      </c>
      <c r="V50" s="10"/>
      <c r="W50" s="10"/>
      <c r="X50" s="10"/>
      <c r="Y50" s="13" t="str">
        <f t="shared" si="4"/>
        <v/>
      </c>
      <c r="Z50" s="10" t="str">
        <f t="shared" si="5"/>
        <v/>
      </c>
      <c r="AA50" s="10"/>
      <c r="AB50" s="10"/>
      <c r="AC50" s="10"/>
      <c r="AD50" s="10"/>
      <c r="AE50" s="11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1"/>
      <c r="J51" s="11"/>
      <c r="K51" s="10"/>
      <c r="L51" s="10"/>
      <c r="M51" s="10"/>
      <c r="N51" s="10"/>
      <c r="O51" s="10"/>
      <c r="P51" s="10"/>
      <c r="Q51" s="10"/>
      <c r="R51" s="10"/>
      <c r="S51" s="10" t="str">
        <f t="shared" si="1"/>
        <v/>
      </c>
      <c r="T51" s="12" t="str">
        <f t="shared" si="2"/>
        <v/>
      </c>
      <c r="U51" s="10" t="str">
        <f t="shared" si="3"/>
        <v/>
      </c>
      <c r="V51" s="10"/>
      <c r="W51" s="10"/>
      <c r="X51" s="10"/>
      <c r="Y51" s="13" t="str">
        <f t="shared" si="4"/>
        <v/>
      </c>
      <c r="Z51" s="10" t="str">
        <f t="shared" si="5"/>
        <v/>
      </c>
      <c r="AA51" s="10"/>
      <c r="AB51" s="10"/>
      <c r="AC51" s="10"/>
      <c r="AD51" s="10"/>
      <c r="AE51" s="11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1"/>
      <c r="J52" s="11"/>
      <c r="K52" s="10"/>
      <c r="L52" s="10"/>
      <c r="M52" s="10"/>
      <c r="N52" s="10"/>
      <c r="O52" s="10"/>
      <c r="P52" s="10"/>
      <c r="Q52" s="10"/>
      <c r="R52" s="10"/>
      <c r="S52" s="10" t="str">
        <f t="shared" si="1"/>
        <v/>
      </c>
      <c r="T52" s="12" t="str">
        <f t="shared" si="2"/>
        <v/>
      </c>
      <c r="U52" s="10" t="str">
        <f t="shared" si="3"/>
        <v/>
      </c>
      <c r="V52" s="10"/>
      <c r="W52" s="10"/>
      <c r="X52" s="10"/>
      <c r="Y52" s="13" t="str">
        <f t="shared" si="4"/>
        <v/>
      </c>
      <c r="Z52" s="10" t="str">
        <f t="shared" si="5"/>
        <v/>
      </c>
      <c r="AA52" s="10"/>
      <c r="AB52" s="10"/>
      <c r="AC52" s="10"/>
      <c r="AD52" s="10"/>
      <c r="AE52" s="11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1"/>
      <c r="J53" s="11"/>
      <c r="K53" s="10"/>
      <c r="L53" s="10"/>
      <c r="M53" s="10"/>
      <c r="N53" s="10"/>
      <c r="O53" s="10"/>
      <c r="P53" s="10"/>
      <c r="Q53" s="10"/>
      <c r="R53" s="10"/>
      <c r="S53" s="10" t="str">
        <f t="shared" si="1"/>
        <v/>
      </c>
      <c r="T53" s="12" t="str">
        <f t="shared" si="2"/>
        <v/>
      </c>
      <c r="U53" s="10" t="str">
        <f t="shared" si="3"/>
        <v/>
      </c>
      <c r="V53" s="10"/>
      <c r="W53" s="10"/>
      <c r="X53" s="10"/>
      <c r="Y53" s="13" t="str">
        <f t="shared" si="4"/>
        <v/>
      </c>
      <c r="Z53" s="10" t="str">
        <f t="shared" si="5"/>
        <v/>
      </c>
      <c r="AA53" s="10"/>
      <c r="AB53" s="10"/>
      <c r="AC53" s="10"/>
      <c r="AD53" s="10"/>
      <c r="AE53" s="11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1"/>
      <c r="J54" s="11"/>
      <c r="K54" s="10"/>
      <c r="L54" s="10"/>
      <c r="M54" s="10"/>
      <c r="N54" s="10"/>
      <c r="O54" s="10"/>
      <c r="P54" s="10"/>
      <c r="Q54" s="10"/>
      <c r="R54" s="10"/>
      <c r="S54" s="10" t="str">
        <f t="shared" si="1"/>
        <v/>
      </c>
      <c r="T54" s="12" t="str">
        <f t="shared" si="2"/>
        <v/>
      </c>
      <c r="U54" s="10" t="str">
        <f t="shared" si="3"/>
        <v/>
      </c>
      <c r="V54" s="10"/>
      <c r="W54" s="10"/>
      <c r="X54" s="10"/>
      <c r="Y54" s="13" t="str">
        <f t="shared" si="4"/>
        <v/>
      </c>
      <c r="Z54" s="10" t="str">
        <f t="shared" si="5"/>
        <v/>
      </c>
      <c r="AA54" s="10"/>
      <c r="AB54" s="10"/>
      <c r="AC54" s="10"/>
      <c r="AD54" s="10"/>
      <c r="AE54" s="11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1"/>
      <c r="J55" s="11"/>
      <c r="K55" s="10"/>
      <c r="L55" s="10"/>
      <c r="M55" s="10"/>
      <c r="N55" s="10"/>
      <c r="O55" s="10"/>
      <c r="P55" s="10"/>
      <c r="Q55" s="10"/>
      <c r="R55" s="10"/>
      <c r="S55" s="10" t="str">
        <f t="shared" si="1"/>
        <v/>
      </c>
      <c r="T55" s="12" t="str">
        <f t="shared" si="2"/>
        <v/>
      </c>
      <c r="U55" s="10" t="str">
        <f t="shared" si="3"/>
        <v/>
      </c>
      <c r="V55" s="10"/>
      <c r="W55" s="10"/>
      <c r="X55" s="10"/>
      <c r="Y55" s="13" t="str">
        <f t="shared" si="4"/>
        <v/>
      </c>
      <c r="Z55" s="10" t="str">
        <f t="shared" si="5"/>
        <v/>
      </c>
      <c r="AA55" s="10"/>
      <c r="AB55" s="10"/>
      <c r="AC55" s="10"/>
      <c r="AD55" s="10"/>
      <c r="AE55" s="11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1"/>
      <c r="J56" s="11"/>
      <c r="K56" s="10"/>
      <c r="L56" s="10"/>
      <c r="M56" s="10"/>
      <c r="N56" s="10"/>
      <c r="O56" s="10"/>
      <c r="P56" s="10"/>
      <c r="Q56" s="10"/>
      <c r="R56" s="10"/>
      <c r="S56" s="10" t="str">
        <f t="shared" si="1"/>
        <v/>
      </c>
      <c r="T56" s="12" t="str">
        <f t="shared" si="2"/>
        <v/>
      </c>
      <c r="U56" s="10" t="str">
        <f t="shared" si="3"/>
        <v/>
      </c>
      <c r="V56" s="10"/>
      <c r="W56" s="10"/>
      <c r="X56" s="10"/>
      <c r="Y56" s="13" t="str">
        <f t="shared" si="4"/>
        <v/>
      </c>
      <c r="Z56" s="10" t="str">
        <f t="shared" si="5"/>
        <v/>
      </c>
      <c r="AA56" s="10"/>
      <c r="AB56" s="10"/>
      <c r="AC56" s="10"/>
      <c r="AD56" s="10"/>
      <c r="AE56" s="11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1"/>
      <c r="J57" s="11"/>
      <c r="K57" s="10"/>
      <c r="L57" s="10"/>
      <c r="M57" s="10"/>
      <c r="N57" s="10"/>
      <c r="O57" s="10"/>
      <c r="P57" s="10"/>
      <c r="Q57" s="10"/>
      <c r="R57" s="10"/>
      <c r="S57" s="10" t="str">
        <f t="shared" si="1"/>
        <v/>
      </c>
      <c r="T57" s="12" t="str">
        <f t="shared" si="2"/>
        <v/>
      </c>
      <c r="U57" s="10" t="str">
        <f t="shared" si="3"/>
        <v/>
      </c>
      <c r="V57" s="10"/>
      <c r="W57" s="10"/>
      <c r="X57" s="10"/>
      <c r="Y57" s="13" t="str">
        <f t="shared" si="4"/>
        <v/>
      </c>
      <c r="Z57" s="10" t="str">
        <f t="shared" si="5"/>
        <v/>
      </c>
      <c r="AA57" s="10"/>
      <c r="AB57" s="10"/>
      <c r="AC57" s="10"/>
      <c r="AD57" s="10"/>
      <c r="AE57" s="11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1"/>
      <c r="J58" s="11"/>
      <c r="K58" s="10"/>
      <c r="L58" s="10"/>
      <c r="M58" s="10"/>
      <c r="N58" s="10"/>
      <c r="O58" s="10"/>
      <c r="P58" s="10"/>
      <c r="Q58" s="10"/>
      <c r="R58" s="10"/>
      <c r="S58" s="10" t="str">
        <f t="shared" si="1"/>
        <v/>
      </c>
      <c r="T58" s="12" t="str">
        <f t="shared" si="2"/>
        <v/>
      </c>
      <c r="U58" s="10" t="str">
        <f t="shared" si="3"/>
        <v/>
      </c>
      <c r="V58" s="10"/>
      <c r="W58" s="10"/>
      <c r="X58" s="10"/>
      <c r="Y58" s="13" t="str">
        <f t="shared" si="4"/>
        <v/>
      </c>
      <c r="Z58" s="10" t="str">
        <f t="shared" si="5"/>
        <v/>
      </c>
      <c r="AA58" s="10"/>
      <c r="AB58" s="10"/>
      <c r="AC58" s="10"/>
      <c r="AD58" s="10"/>
      <c r="AE58" s="11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1"/>
      <c r="J59" s="11"/>
      <c r="K59" s="10"/>
      <c r="L59" s="10"/>
      <c r="M59" s="10"/>
      <c r="N59" s="10"/>
      <c r="O59" s="10"/>
      <c r="P59" s="10"/>
      <c r="Q59" s="10"/>
      <c r="R59" s="10"/>
      <c r="S59" s="10" t="str">
        <f t="shared" si="1"/>
        <v/>
      </c>
      <c r="T59" s="12" t="str">
        <f t="shared" si="2"/>
        <v/>
      </c>
      <c r="U59" s="10" t="str">
        <f t="shared" si="3"/>
        <v/>
      </c>
      <c r="V59" s="10"/>
      <c r="W59" s="10"/>
      <c r="X59" s="10"/>
      <c r="Y59" s="13" t="str">
        <f t="shared" si="4"/>
        <v/>
      </c>
      <c r="Z59" s="10" t="str">
        <f t="shared" si="5"/>
        <v/>
      </c>
      <c r="AA59" s="10"/>
      <c r="AB59" s="10"/>
      <c r="AC59" s="10"/>
      <c r="AD59" s="10"/>
      <c r="AE59" s="11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1"/>
      <c r="J60" s="11"/>
      <c r="K60" s="10"/>
      <c r="L60" s="10"/>
      <c r="M60" s="10"/>
      <c r="N60" s="10"/>
      <c r="O60" s="10"/>
      <c r="P60" s="10"/>
      <c r="Q60" s="10"/>
      <c r="R60" s="10"/>
      <c r="S60" s="10" t="str">
        <f t="shared" si="1"/>
        <v/>
      </c>
      <c r="T60" s="12" t="str">
        <f t="shared" si="2"/>
        <v/>
      </c>
      <c r="U60" s="10" t="str">
        <f t="shared" si="3"/>
        <v/>
      </c>
      <c r="V60" s="10"/>
      <c r="W60" s="10"/>
      <c r="X60" s="10"/>
      <c r="Y60" s="13" t="str">
        <f t="shared" si="4"/>
        <v/>
      </c>
      <c r="Z60" s="10" t="str">
        <f t="shared" si="5"/>
        <v/>
      </c>
      <c r="AA60" s="10"/>
      <c r="AB60" s="10"/>
      <c r="AC60" s="10"/>
      <c r="AD60" s="10"/>
      <c r="AE60" s="11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1"/>
      <c r="J61" s="11"/>
      <c r="K61" s="10"/>
      <c r="L61" s="10"/>
      <c r="M61" s="10"/>
      <c r="N61" s="10"/>
      <c r="O61" s="10"/>
      <c r="P61" s="10"/>
      <c r="Q61" s="10"/>
      <c r="R61" s="10"/>
      <c r="S61" s="10" t="str">
        <f t="shared" si="1"/>
        <v/>
      </c>
      <c r="T61" s="12" t="str">
        <f t="shared" si="2"/>
        <v/>
      </c>
      <c r="U61" s="10" t="str">
        <f t="shared" si="3"/>
        <v/>
      </c>
      <c r="V61" s="10"/>
      <c r="W61" s="10"/>
      <c r="X61" s="10"/>
      <c r="Y61" s="13" t="str">
        <f t="shared" si="4"/>
        <v/>
      </c>
      <c r="Z61" s="10" t="str">
        <f t="shared" si="5"/>
        <v/>
      </c>
      <c r="AA61" s="10"/>
      <c r="AB61" s="10"/>
      <c r="AC61" s="10"/>
      <c r="AD61" s="10"/>
      <c r="AE61" s="11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1"/>
      <c r="J62" s="11"/>
      <c r="K62" s="10"/>
      <c r="L62" s="10"/>
      <c r="M62" s="10"/>
      <c r="N62" s="10"/>
      <c r="O62" s="10"/>
      <c r="P62" s="10"/>
      <c r="Q62" s="10"/>
      <c r="R62" s="10"/>
      <c r="S62" s="10" t="str">
        <f t="shared" si="1"/>
        <v/>
      </c>
      <c r="T62" s="12" t="str">
        <f t="shared" si="2"/>
        <v/>
      </c>
      <c r="U62" s="10" t="str">
        <f t="shared" si="3"/>
        <v/>
      </c>
      <c r="V62" s="10"/>
      <c r="W62" s="10"/>
      <c r="X62" s="10"/>
      <c r="Y62" s="13" t="str">
        <f t="shared" si="4"/>
        <v/>
      </c>
      <c r="Z62" s="10" t="str">
        <f t="shared" si="5"/>
        <v/>
      </c>
      <c r="AA62" s="10"/>
      <c r="AB62" s="10"/>
      <c r="AC62" s="10"/>
      <c r="AD62" s="10"/>
      <c r="AE62" s="11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1"/>
      <c r="J63" s="11"/>
      <c r="K63" s="10"/>
      <c r="L63" s="10"/>
      <c r="M63" s="10"/>
      <c r="N63" s="10"/>
      <c r="O63" s="10"/>
      <c r="P63" s="10"/>
      <c r="Q63" s="10"/>
      <c r="R63" s="10"/>
      <c r="S63" s="10" t="str">
        <f t="shared" si="1"/>
        <v/>
      </c>
      <c r="T63" s="12" t="str">
        <f t="shared" si="2"/>
        <v/>
      </c>
      <c r="U63" s="10" t="str">
        <f t="shared" si="3"/>
        <v/>
      </c>
      <c r="V63" s="10"/>
      <c r="W63" s="10"/>
      <c r="X63" s="10"/>
      <c r="Y63" s="13" t="str">
        <f t="shared" si="4"/>
        <v/>
      </c>
      <c r="Z63" s="10" t="str">
        <f t="shared" si="5"/>
        <v/>
      </c>
      <c r="AA63" s="10"/>
      <c r="AB63" s="10"/>
      <c r="AC63" s="10"/>
      <c r="AD63" s="10"/>
      <c r="AE63" s="11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1"/>
      <c r="J64" s="11"/>
      <c r="K64" s="10"/>
      <c r="L64" s="10"/>
      <c r="M64" s="10"/>
      <c r="N64" s="10"/>
      <c r="O64" s="10"/>
      <c r="P64" s="10"/>
      <c r="Q64" s="10"/>
      <c r="R64" s="10"/>
      <c r="S64" s="10" t="str">
        <f t="shared" si="1"/>
        <v/>
      </c>
      <c r="T64" s="12" t="str">
        <f t="shared" si="2"/>
        <v/>
      </c>
      <c r="U64" s="10" t="str">
        <f t="shared" si="3"/>
        <v/>
      </c>
      <c r="V64" s="10"/>
      <c r="W64" s="10"/>
      <c r="X64" s="10"/>
      <c r="Y64" s="13" t="str">
        <f t="shared" si="4"/>
        <v/>
      </c>
      <c r="Z64" s="10" t="str">
        <f t="shared" si="5"/>
        <v/>
      </c>
      <c r="AA64" s="10"/>
      <c r="AB64" s="10"/>
      <c r="AC64" s="10"/>
      <c r="AD64" s="10"/>
      <c r="AE64" s="11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1"/>
      <c r="J65" s="11"/>
      <c r="K65" s="10"/>
      <c r="L65" s="10"/>
      <c r="M65" s="10"/>
      <c r="N65" s="10"/>
      <c r="O65" s="10"/>
      <c r="P65" s="10"/>
      <c r="Q65" s="10"/>
      <c r="R65" s="10"/>
      <c r="S65" s="10" t="str">
        <f t="shared" si="1"/>
        <v/>
      </c>
      <c r="T65" s="12" t="str">
        <f t="shared" si="2"/>
        <v/>
      </c>
      <c r="U65" s="10" t="str">
        <f t="shared" si="3"/>
        <v/>
      </c>
      <c r="V65" s="10"/>
      <c r="W65" s="10"/>
      <c r="X65" s="10"/>
      <c r="Y65" s="13" t="str">
        <f t="shared" si="4"/>
        <v/>
      </c>
      <c r="Z65" s="10" t="str">
        <f t="shared" si="5"/>
        <v/>
      </c>
      <c r="AA65" s="10"/>
      <c r="AB65" s="10"/>
      <c r="AC65" s="10"/>
      <c r="AD65" s="10"/>
      <c r="AE65" s="11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1"/>
      <c r="J66" s="11"/>
      <c r="K66" s="10"/>
      <c r="L66" s="10"/>
      <c r="M66" s="10"/>
      <c r="N66" s="10"/>
      <c r="O66" s="10"/>
      <c r="P66" s="10"/>
      <c r="Q66" s="10"/>
      <c r="R66" s="10"/>
      <c r="S66" s="10" t="str">
        <f t="shared" si="1"/>
        <v/>
      </c>
      <c r="T66" s="12" t="str">
        <f t="shared" si="2"/>
        <v/>
      </c>
      <c r="U66" s="10" t="str">
        <f t="shared" si="3"/>
        <v/>
      </c>
      <c r="V66" s="10"/>
      <c r="W66" s="10"/>
      <c r="X66" s="10"/>
      <c r="Y66" s="13" t="str">
        <f t="shared" si="4"/>
        <v/>
      </c>
      <c r="Z66" s="10" t="str">
        <f t="shared" si="5"/>
        <v/>
      </c>
      <c r="AA66" s="10"/>
      <c r="AB66" s="10"/>
      <c r="AC66" s="10"/>
      <c r="AD66" s="10"/>
      <c r="AE66" s="11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1"/>
      <c r="J67" s="11"/>
      <c r="K67" s="10"/>
      <c r="L67" s="10"/>
      <c r="M67" s="10"/>
      <c r="N67" s="10"/>
      <c r="O67" s="10"/>
      <c r="P67" s="10"/>
      <c r="Q67" s="10"/>
      <c r="R67" s="10"/>
      <c r="S67" s="10" t="str">
        <f t="shared" si="1"/>
        <v/>
      </c>
      <c r="T67" s="12" t="str">
        <f t="shared" si="2"/>
        <v/>
      </c>
      <c r="U67" s="10" t="str">
        <f t="shared" si="3"/>
        <v/>
      </c>
      <c r="V67" s="10"/>
      <c r="W67" s="10"/>
      <c r="X67" s="10"/>
      <c r="Y67" s="13" t="str">
        <f t="shared" si="4"/>
        <v/>
      </c>
      <c r="Z67" s="10" t="str">
        <f t="shared" si="5"/>
        <v/>
      </c>
      <c r="AA67" s="10"/>
      <c r="AB67" s="10"/>
      <c r="AC67" s="10"/>
      <c r="AD67" s="10"/>
      <c r="AE67" s="11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1"/>
      <c r="J68" s="11"/>
      <c r="K68" s="10"/>
      <c r="L68" s="10"/>
      <c r="M68" s="10"/>
      <c r="N68" s="10"/>
      <c r="O68" s="10"/>
      <c r="P68" s="10"/>
      <c r="Q68" s="10"/>
      <c r="R68" s="10"/>
      <c r="S68" s="10" t="str">
        <f t="shared" si="1"/>
        <v/>
      </c>
      <c r="T68" s="12" t="str">
        <f t="shared" si="2"/>
        <v/>
      </c>
      <c r="U68" s="10" t="str">
        <f t="shared" si="3"/>
        <v/>
      </c>
      <c r="V68" s="10"/>
      <c r="W68" s="10"/>
      <c r="X68" s="10"/>
      <c r="Y68" s="13" t="str">
        <f t="shared" si="4"/>
        <v/>
      </c>
      <c r="Z68" s="10" t="str">
        <f t="shared" si="5"/>
        <v/>
      </c>
      <c r="AA68" s="10"/>
      <c r="AB68" s="10"/>
      <c r="AC68" s="10"/>
      <c r="AD68" s="10"/>
      <c r="AE68" s="11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1"/>
      <c r="J69" s="11"/>
      <c r="K69" s="10"/>
      <c r="L69" s="10"/>
      <c r="M69" s="10"/>
      <c r="N69" s="10"/>
      <c r="O69" s="10"/>
      <c r="P69" s="10"/>
      <c r="Q69" s="10"/>
      <c r="R69" s="10"/>
      <c r="S69" s="10" t="str">
        <f t="shared" si="1"/>
        <v/>
      </c>
      <c r="T69" s="12" t="str">
        <f t="shared" si="2"/>
        <v/>
      </c>
      <c r="U69" s="10" t="str">
        <f t="shared" si="3"/>
        <v/>
      </c>
      <c r="V69" s="10"/>
      <c r="W69" s="10"/>
      <c r="X69" s="10"/>
      <c r="Y69" s="13" t="str">
        <f t="shared" si="4"/>
        <v/>
      </c>
      <c r="Z69" s="10" t="str">
        <f t="shared" si="5"/>
        <v/>
      </c>
      <c r="AA69" s="10"/>
      <c r="AB69" s="10"/>
      <c r="AC69" s="10"/>
      <c r="AD69" s="10"/>
      <c r="AE69" s="11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1"/>
      <c r="J70" s="11"/>
      <c r="K70" s="10"/>
      <c r="L70" s="10"/>
      <c r="M70" s="10"/>
      <c r="N70" s="10"/>
      <c r="O70" s="10"/>
      <c r="P70" s="10"/>
      <c r="Q70" s="10"/>
      <c r="R70" s="10"/>
      <c r="S70" s="10" t="str">
        <f t="shared" si="1"/>
        <v/>
      </c>
      <c r="T70" s="12" t="str">
        <f t="shared" si="2"/>
        <v/>
      </c>
      <c r="U70" s="10" t="str">
        <f t="shared" si="3"/>
        <v/>
      </c>
      <c r="V70" s="10"/>
      <c r="W70" s="10"/>
      <c r="X70" s="10"/>
      <c r="Y70" s="13" t="str">
        <f t="shared" si="4"/>
        <v/>
      </c>
      <c r="Z70" s="10" t="str">
        <f t="shared" si="5"/>
        <v/>
      </c>
      <c r="AA70" s="10"/>
      <c r="AB70" s="10"/>
      <c r="AC70" s="10"/>
      <c r="AD70" s="10"/>
      <c r="AE70" s="11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1"/>
      <c r="J71" s="11"/>
      <c r="K71" s="10"/>
      <c r="L71" s="10"/>
      <c r="M71" s="10"/>
      <c r="N71" s="10"/>
      <c r="O71" s="10"/>
      <c r="P71" s="10"/>
      <c r="Q71" s="10"/>
      <c r="R71" s="10"/>
      <c r="S71" s="10" t="str">
        <f t="shared" si="1"/>
        <v/>
      </c>
      <c r="T71" s="12" t="str">
        <f t="shared" si="2"/>
        <v/>
      </c>
      <c r="U71" s="10" t="str">
        <f t="shared" si="3"/>
        <v/>
      </c>
      <c r="V71" s="10"/>
      <c r="W71" s="10"/>
      <c r="X71" s="10"/>
      <c r="Y71" s="13" t="str">
        <f t="shared" si="4"/>
        <v/>
      </c>
      <c r="Z71" s="10" t="str">
        <f t="shared" si="5"/>
        <v/>
      </c>
      <c r="AA71" s="10"/>
      <c r="AB71" s="10"/>
      <c r="AC71" s="10"/>
      <c r="AD71" s="10"/>
      <c r="AE71" s="11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1"/>
      <c r="J72" s="11"/>
      <c r="K72" s="10"/>
      <c r="L72" s="10"/>
      <c r="M72" s="10"/>
      <c r="N72" s="10"/>
      <c r="O72" s="10"/>
      <c r="P72" s="10"/>
      <c r="Q72" s="10"/>
      <c r="R72" s="10"/>
      <c r="S72" s="10" t="str">
        <f t="shared" si="1"/>
        <v/>
      </c>
      <c r="T72" s="12" t="str">
        <f t="shared" si="2"/>
        <v/>
      </c>
      <c r="U72" s="10" t="str">
        <f t="shared" si="3"/>
        <v/>
      </c>
      <c r="V72" s="10"/>
      <c r="W72" s="10"/>
      <c r="X72" s="10"/>
      <c r="Y72" s="13" t="str">
        <f t="shared" si="4"/>
        <v/>
      </c>
      <c r="Z72" s="10" t="str">
        <f t="shared" si="5"/>
        <v/>
      </c>
      <c r="AA72" s="10"/>
      <c r="AB72" s="10"/>
      <c r="AC72" s="10"/>
      <c r="AD72" s="10"/>
      <c r="AE72" s="11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1"/>
      <c r="J73" s="11"/>
      <c r="K73" s="10"/>
      <c r="L73" s="10"/>
      <c r="M73" s="10"/>
      <c r="N73" s="10"/>
      <c r="O73" s="10"/>
      <c r="P73" s="10"/>
      <c r="Q73" s="10"/>
      <c r="R73" s="10"/>
      <c r="S73" s="10" t="str">
        <f t="shared" si="1"/>
        <v/>
      </c>
      <c r="T73" s="12" t="str">
        <f t="shared" si="2"/>
        <v/>
      </c>
      <c r="U73" s="10" t="str">
        <f t="shared" si="3"/>
        <v/>
      </c>
      <c r="V73" s="10"/>
      <c r="W73" s="10"/>
      <c r="X73" s="10"/>
      <c r="Y73" s="13" t="str">
        <f t="shared" si="4"/>
        <v/>
      </c>
      <c r="Z73" s="10" t="str">
        <f t="shared" si="5"/>
        <v/>
      </c>
      <c r="AA73" s="10"/>
      <c r="AB73" s="10"/>
      <c r="AC73" s="10"/>
      <c r="AD73" s="10"/>
      <c r="AE73" s="11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1"/>
      <c r="J74" s="11"/>
      <c r="K74" s="10"/>
      <c r="L74" s="10"/>
      <c r="M74" s="10"/>
      <c r="N74" s="10"/>
      <c r="O74" s="10"/>
      <c r="P74" s="10"/>
      <c r="Q74" s="10"/>
      <c r="R74" s="10"/>
      <c r="S74" s="10" t="str">
        <f t="shared" si="1"/>
        <v/>
      </c>
      <c r="T74" s="12" t="str">
        <f t="shared" si="2"/>
        <v/>
      </c>
      <c r="U74" s="10" t="str">
        <f t="shared" si="3"/>
        <v/>
      </c>
      <c r="V74" s="10"/>
      <c r="W74" s="10"/>
      <c r="X74" s="10"/>
      <c r="Y74" s="13" t="str">
        <f t="shared" si="4"/>
        <v/>
      </c>
      <c r="Z74" s="10" t="str">
        <f t="shared" si="5"/>
        <v/>
      </c>
      <c r="AA74" s="10"/>
      <c r="AB74" s="10"/>
      <c r="AC74" s="10"/>
      <c r="AD74" s="10"/>
      <c r="AE74" s="11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1"/>
      <c r="J75" s="11"/>
      <c r="K75" s="10"/>
      <c r="L75" s="10"/>
      <c r="M75" s="10"/>
      <c r="N75" s="10"/>
      <c r="O75" s="10"/>
      <c r="P75" s="10"/>
      <c r="Q75" s="10"/>
      <c r="R75" s="10"/>
      <c r="S75" s="10" t="str">
        <f t="shared" si="1"/>
        <v/>
      </c>
      <c r="T75" s="12" t="str">
        <f t="shared" si="2"/>
        <v/>
      </c>
      <c r="U75" s="10" t="str">
        <f t="shared" si="3"/>
        <v/>
      </c>
      <c r="V75" s="10"/>
      <c r="W75" s="10"/>
      <c r="X75" s="10"/>
      <c r="Y75" s="13" t="str">
        <f t="shared" si="4"/>
        <v/>
      </c>
      <c r="Z75" s="10" t="str">
        <f t="shared" si="5"/>
        <v/>
      </c>
      <c r="AA75" s="10"/>
      <c r="AB75" s="10"/>
      <c r="AC75" s="10"/>
      <c r="AD75" s="10"/>
      <c r="AE75" s="11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1"/>
      <c r="J76" s="11"/>
      <c r="K76" s="10"/>
      <c r="L76" s="10"/>
      <c r="M76" s="10"/>
      <c r="N76" s="10"/>
      <c r="O76" s="10"/>
      <c r="P76" s="10"/>
      <c r="Q76" s="10"/>
      <c r="R76" s="10"/>
      <c r="S76" s="10" t="str">
        <f t="shared" si="1"/>
        <v/>
      </c>
      <c r="T76" s="12" t="str">
        <f t="shared" si="2"/>
        <v/>
      </c>
      <c r="U76" s="10" t="str">
        <f t="shared" si="3"/>
        <v/>
      </c>
      <c r="V76" s="10"/>
      <c r="W76" s="10"/>
      <c r="X76" s="10"/>
      <c r="Y76" s="13" t="str">
        <f t="shared" si="4"/>
        <v/>
      </c>
      <c r="Z76" s="10" t="str">
        <f t="shared" si="5"/>
        <v/>
      </c>
      <c r="AA76" s="10"/>
      <c r="AB76" s="10"/>
      <c r="AC76" s="10"/>
      <c r="AD76" s="10"/>
      <c r="AE76" s="11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1"/>
      <c r="J77" s="11"/>
      <c r="K77" s="10"/>
      <c r="L77" s="10"/>
      <c r="M77" s="10"/>
      <c r="N77" s="10"/>
      <c r="O77" s="10"/>
      <c r="P77" s="10"/>
      <c r="Q77" s="10"/>
      <c r="R77" s="10"/>
      <c r="S77" s="10" t="str">
        <f t="shared" si="1"/>
        <v/>
      </c>
      <c r="T77" s="12" t="str">
        <f t="shared" si="2"/>
        <v/>
      </c>
      <c r="U77" s="10" t="str">
        <f t="shared" si="3"/>
        <v/>
      </c>
      <c r="V77" s="10"/>
      <c r="W77" s="10"/>
      <c r="X77" s="10"/>
      <c r="Y77" s="13" t="str">
        <f t="shared" si="4"/>
        <v/>
      </c>
      <c r="Z77" s="10" t="str">
        <f t="shared" si="5"/>
        <v/>
      </c>
      <c r="AA77" s="10"/>
      <c r="AB77" s="10"/>
      <c r="AC77" s="10"/>
      <c r="AD77" s="10"/>
      <c r="AE77" s="11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1"/>
      <c r="J78" s="11"/>
      <c r="K78" s="10"/>
      <c r="L78" s="10"/>
      <c r="M78" s="10"/>
      <c r="N78" s="10"/>
      <c r="O78" s="10"/>
      <c r="P78" s="10"/>
      <c r="Q78" s="10"/>
      <c r="R78" s="10"/>
      <c r="S78" s="10" t="str">
        <f t="shared" si="1"/>
        <v/>
      </c>
      <c r="T78" s="12" t="str">
        <f t="shared" si="2"/>
        <v/>
      </c>
      <c r="U78" s="10" t="str">
        <f t="shared" si="3"/>
        <v/>
      </c>
      <c r="V78" s="10"/>
      <c r="W78" s="10"/>
      <c r="X78" s="10"/>
      <c r="Y78" s="13" t="str">
        <f t="shared" si="4"/>
        <v/>
      </c>
      <c r="Z78" s="10" t="str">
        <f t="shared" si="5"/>
        <v/>
      </c>
      <c r="AA78" s="10"/>
      <c r="AB78" s="10"/>
      <c r="AC78" s="10"/>
      <c r="AD78" s="10"/>
      <c r="AE78" s="11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1"/>
      <c r="J79" s="11"/>
      <c r="K79" s="10"/>
      <c r="L79" s="10"/>
      <c r="M79" s="10"/>
      <c r="N79" s="10"/>
      <c r="O79" s="10"/>
      <c r="P79" s="10"/>
      <c r="Q79" s="10"/>
      <c r="R79" s="10"/>
      <c r="S79" s="10" t="str">
        <f t="shared" si="1"/>
        <v/>
      </c>
      <c r="T79" s="12" t="str">
        <f t="shared" si="2"/>
        <v/>
      </c>
      <c r="U79" s="10" t="str">
        <f t="shared" si="3"/>
        <v/>
      </c>
      <c r="V79" s="10"/>
      <c r="W79" s="10"/>
      <c r="X79" s="10"/>
      <c r="Y79" s="13" t="str">
        <f t="shared" si="4"/>
        <v/>
      </c>
      <c r="Z79" s="10" t="str">
        <f t="shared" si="5"/>
        <v/>
      </c>
      <c r="AA79" s="10"/>
      <c r="AB79" s="10"/>
      <c r="AC79" s="10"/>
      <c r="AD79" s="10"/>
      <c r="AE79" s="11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1"/>
      <c r="J80" s="11"/>
      <c r="K80" s="10"/>
      <c r="L80" s="10"/>
      <c r="M80" s="10"/>
      <c r="N80" s="10"/>
      <c r="O80" s="10"/>
      <c r="P80" s="10"/>
      <c r="Q80" s="10"/>
      <c r="R80" s="10"/>
      <c r="S80" s="10" t="str">
        <f t="shared" si="1"/>
        <v/>
      </c>
      <c r="T80" s="12" t="str">
        <f t="shared" si="2"/>
        <v/>
      </c>
      <c r="U80" s="10" t="str">
        <f t="shared" si="3"/>
        <v/>
      </c>
      <c r="V80" s="10"/>
      <c r="W80" s="10"/>
      <c r="X80" s="10"/>
      <c r="Y80" s="13" t="str">
        <f t="shared" si="4"/>
        <v/>
      </c>
      <c r="Z80" s="10" t="str">
        <f t="shared" si="5"/>
        <v/>
      </c>
      <c r="AA80" s="10"/>
      <c r="AB80" s="10"/>
      <c r="AC80" s="10"/>
      <c r="AD80" s="10"/>
      <c r="AE80" s="11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1"/>
      <c r="J81" s="11"/>
      <c r="K81" s="10"/>
      <c r="L81" s="10"/>
      <c r="M81" s="10"/>
      <c r="N81" s="10"/>
      <c r="O81" s="10"/>
      <c r="P81" s="10"/>
      <c r="Q81" s="10"/>
      <c r="R81" s="10"/>
      <c r="S81" s="10" t="str">
        <f t="shared" si="1"/>
        <v/>
      </c>
      <c r="T81" s="12" t="str">
        <f t="shared" si="2"/>
        <v/>
      </c>
      <c r="U81" s="10" t="str">
        <f t="shared" si="3"/>
        <v/>
      </c>
      <c r="V81" s="10"/>
      <c r="W81" s="10"/>
      <c r="X81" s="10"/>
      <c r="Y81" s="13" t="str">
        <f t="shared" si="4"/>
        <v/>
      </c>
      <c r="Z81" s="10" t="str">
        <f t="shared" si="5"/>
        <v/>
      </c>
      <c r="AA81" s="10"/>
      <c r="AB81" s="10"/>
      <c r="AC81" s="10"/>
      <c r="AD81" s="10"/>
      <c r="AE81" s="11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1"/>
      <c r="J82" s="11"/>
      <c r="K82" s="10"/>
      <c r="L82" s="10"/>
      <c r="M82" s="10"/>
      <c r="N82" s="10"/>
      <c r="O82" s="10"/>
      <c r="P82" s="10"/>
      <c r="Q82" s="10"/>
      <c r="R82" s="10"/>
      <c r="S82" s="10" t="str">
        <f t="shared" si="1"/>
        <v/>
      </c>
      <c r="T82" s="12" t="str">
        <f t="shared" si="2"/>
        <v/>
      </c>
      <c r="U82" s="10" t="str">
        <f t="shared" si="3"/>
        <v/>
      </c>
      <c r="V82" s="10"/>
      <c r="W82" s="10"/>
      <c r="X82" s="10"/>
      <c r="Y82" s="13" t="str">
        <f t="shared" si="4"/>
        <v/>
      </c>
      <c r="Z82" s="10" t="str">
        <f t="shared" si="5"/>
        <v/>
      </c>
      <c r="AA82" s="10"/>
      <c r="AB82" s="10"/>
      <c r="AC82" s="10"/>
      <c r="AD82" s="10"/>
      <c r="AE82" s="11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1"/>
      <c r="J83" s="11"/>
      <c r="K83" s="10"/>
      <c r="L83" s="10"/>
      <c r="M83" s="10"/>
      <c r="N83" s="10"/>
      <c r="O83" s="10"/>
      <c r="P83" s="10"/>
      <c r="Q83" s="10"/>
      <c r="R83" s="10"/>
      <c r="S83" s="10" t="str">
        <f t="shared" si="1"/>
        <v/>
      </c>
      <c r="T83" s="12" t="str">
        <f t="shared" si="2"/>
        <v/>
      </c>
      <c r="U83" s="10" t="str">
        <f t="shared" si="3"/>
        <v/>
      </c>
      <c r="V83" s="10"/>
      <c r="W83" s="10"/>
      <c r="X83" s="10"/>
      <c r="Y83" s="13" t="str">
        <f t="shared" si="4"/>
        <v/>
      </c>
      <c r="Z83" s="10" t="str">
        <f t="shared" si="5"/>
        <v/>
      </c>
      <c r="AA83" s="10"/>
      <c r="AB83" s="10"/>
      <c r="AC83" s="10"/>
      <c r="AD83" s="10"/>
      <c r="AE83" s="11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1"/>
      <c r="J84" s="11"/>
      <c r="K84" s="10"/>
      <c r="L84" s="10"/>
      <c r="M84" s="10"/>
      <c r="N84" s="10"/>
      <c r="O84" s="10"/>
      <c r="P84" s="10"/>
      <c r="Q84" s="10"/>
      <c r="R84" s="10"/>
      <c r="S84" s="10" t="str">
        <f t="shared" si="1"/>
        <v/>
      </c>
      <c r="T84" s="12" t="str">
        <f t="shared" si="2"/>
        <v/>
      </c>
      <c r="U84" s="10" t="str">
        <f t="shared" si="3"/>
        <v/>
      </c>
      <c r="V84" s="10"/>
      <c r="W84" s="10"/>
      <c r="X84" s="10"/>
      <c r="Y84" s="13" t="str">
        <f t="shared" si="4"/>
        <v/>
      </c>
      <c r="Z84" s="10" t="str">
        <f t="shared" si="5"/>
        <v/>
      </c>
      <c r="AA84" s="10"/>
      <c r="AB84" s="10"/>
      <c r="AC84" s="10"/>
      <c r="AD84" s="10"/>
      <c r="AE84" s="11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1"/>
      <c r="J85" s="11"/>
      <c r="K85" s="10"/>
      <c r="L85" s="10"/>
      <c r="M85" s="10"/>
      <c r="N85" s="10"/>
      <c r="O85" s="10"/>
      <c r="P85" s="10"/>
      <c r="Q85" s="10"/>
      <c r="R85" s="10"/>
      <c r="S85" s="10" t="str">
        <f t="shared" si="1"/>
        <v/>
      </c>
      <c r="T85" s="12" t="str">
        <f t="shared" si="2"/>
        <v/>
      </c>
      <c r="U85" s="10" t="str">
        <f t="shared" si="3"/>
        <v/>
      </c>
      <c r="V85" s="10"/>
      <c r="W85" s="10"/>
      <c r="X85" s="10"/>
      <c r="Y85" s="13" t="str">
        <f t="shared" si="4"/>
        <v/>
      </c>
      <c r="Z85" s="10" t="str">
        <f t="shared" si="5"/>
        <v/>
      </c>
      <c r="AA85" s="10"/>
      <c r="AB85" s="10"/>
      <c r="AC85" s="10"/>
      <c r="AD85" s="10"/>
      <c r="AE85" s="11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1"/>
      <c r="J86" s="11"/>
      <c r="K86" s="10"/>
      <c r="L86" s="10"/>
      <c r="M86" s="10"/>
      <c r="N86" s="10"/>
      <c r="O86" s="10"/>
      <c r="P86" s="10"/>
      <c r="Q86" s="10"/>
      <c r="R86" s="10"/>
      <c r="S86" s="10" t="str">
        <f t="shared" si="1"/>
        <v/>
      </c>
      <c r="T86" s="12" t="str">
        <f t="shared" si="2"/>
        <v/>
      </c>
      <c r="U86" s="10" t="str">
        <f t="shared" si="3"/>
        <v/>
      </c>
      <c r="V86" s="10"/>
      <c r="W86" s="10"/>
      <c r="X86" s="10"/>
      <c r="Y86" s="13" t="str">
        <f t="shared" si="4"/>
        <v/>
      </c>
      <c r="Z86" s="10" t="str">
        <f t="shared" si="5"/>
        <v/>
      </c>
      <c r="AA86" s="10"/>
      <c r="AB86" s="10"/>
      <c r="AC86" s="10"/>
      <c r="AD86" s="10"/>
      <c r="AE86" s="11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1"/>
      <c r="J87" s="11"/>
      <c r="K87" s="10"/>
      <c r="L87" s="10"/>
      <c r="M87" s="10"/>
      <c r="N87" s="10"/>
      <c r="O87" s="10"/>
      <c r="P87" s="10"/>
      <c r="Q87" s="10"/>
      <c r="R87" s="10"/>
      <c r="S87" s="10" t="str">
        <f t="shared" si="1"/>
        <v/>
      </c>
      <c r="T87" s="12" t="str">
        <f t="shared" si="2"/>
        <v/>
      </c>
      <c r="U87" s="10" t="str">
        <f t="shared" si="3"/>
        <v/>
      </c>
      <c r="V87" s="10"/>
      <c r="W87" s="10"/>
      <c r="X87" s="10"/>
      <c r="Y87" s="13" t="str">
        <f t="shared" si="4"/>
        <v/>
      </c>
      <c r="Z87" s="10" t="str">
        <f t="shared" si="5"/>
        <v/>
      </c>
      <c r="AA87" s="10"/>
      <c r="AB87" s="10"/>
      <c r="AC87" s="10"/>
      <c r="AD87" s="10"/>
      <c r="AE87" s="11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1"/>
      <c r="J88" s="11"/>
      <c r="K88" s="10"/>
      <c r="L88" s="10"/>
      <c r="M88" s="10"/>
      <c r="N88" s="10"/>
      <c r="O88" s="10"/>
      <c r="P88" s="10"/>
      <c r="Q88" s="10"/>
      <c r="R88" s="10"/>
      <c r="S88" s="10" t="str">
        <f t="shared" si="1"/>
        <v/>
      </c>
      <c r="T88" s="12" t="str">
        <f t="shared" si="2"/>
        <v/>
      </c>
      <c r="U88" s="10" t="str">
        <f t="shared" si="3"/>
        <v/>
      </c>
      <c r="V88" s="10"/>
      <c r="W88" s="10"/>
      <c r="X88" s="10"/>
      <c r="Y88" s="13" t="str">
        <f t="shared" si="4"/>
        <v/>
      </c>
      <c r="Z88" s="10" t="str">
        <f t="shared" si="5"/>
        <v/>
      </c>
      <c r="AA88" s="10"/>
      <c r="AB88" s="10"/>
      <c r="AC88" s="10"/>
      <c r="AD88" s="10"/>
      <c r="AE88" s="11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1"/>
      <c r="J89" s="11"/>
      <c r="K89" s="10"/>
      <c r="L89" s="10"/>
      <c r="M89" s="10"/>
      <c r="N89" s="10"/>
      <c r="O89" s="10"/>
      <c r="P89" s="10"/>
      <c r="Q89" s="10"/>
      <c r="R89" s="10"/>
      <c r="S89" s="10" t="str">
        <f t="shared" si="1"/>
        <v/>
      </c>
      <c r="T89" s="12" t="str">
        <f t="shared" si="2"/>
        <v/>
      </c>
      <c r="U89" s="10" t="str">
        <f t="shared" si="3"/>
        <v/>
      </c>
      <c r="V89" s="10"/>
      <c r="W89" s="10"/>
      <c r="X89" s="10"/>
      <c r="Y89" s="13" t="str">
        <f t="shared" si="4"/>
        <v/>
      </c>
      <c r="Z89" s="10" t="str">
        <f t="shared" si="5"/>
        <v/>
      </c>
      <c r="AA89" s="10"/>
      <c r="AB89" s="10"/>
      <c r="AC89" s="10"/>
      <c r="AD89" s="10"/>
      <c r="AE89" s="11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1"/>
      <c r="J90" s="11"/>
      <c r="K90" s="10"/>
      <c r="L90" s="10"/>
      <c r="M90" s="10"/>
      <c r="N90" s="10"/>
      <c r="O90" s="10"/>
      <c r="P90" s="10"/>
      <c r="Q90" s="10"/>
      <c r="R90" s="10"/>
      <c r="S90" s="10" t="str">
        <f t="shared" si="1"/>
        <v/>
      </c>
      <c r="T90" s="12" t="str">
        <f t="shared" si="2"/>
        <v/>
      </c>
      <c r="U90" s="10" t="str">
        <f t="shared" si="3"/>
        <v/>
      </c>
      <c r="V90" s="10"/>
      <c r="W90" s="10"/>
      <c r="X90" s="10"/>
      <c r="Y90" s="13" t="str">
        <f t="shared" si="4"/>
        <v/>
      </c>
      <c r="Z90" s="10" t="str">
        <f t="shared" si="5"/>
        <v/>
      </c>
      <c r="AA90" s="10"/>
      <c r="AB90" s="10"/>
      <c r="AC90" s="10"/>
      <c r="AD90" s="10"/>
      <c r="AE90" s="11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1"/>
      <c r="J91" s="11"/>
      <c r="K91" s="10"/>
      <c r="L91" s="10"/>
      <c r="M91" s="10"/>
      <c r="N91" s="10"/>
      <c r="O91" s="10"/>
      <c r="P91" s="10"/>
      <c r="Q91" s="10"/>
      <c r="R91" s="10"/>
      <c r="S91" s="10" t="str">
        <f t="shared" si="1"/>
        <v/>
      </c>
      <c r="T91" s="12" t="str">
        <f t="shared" si="2"/>
        <v/>
      </c>
      <c r="U91" s="10" t="str">
        <f t="shared" si="3"/>
        <v/>
      </c>
      <c r="V91" s="10"/>
      <c r="W91" s="10"/>
      <c r="X91" s="10"/>
      <c r="Y91" s="13" t="str">
        <f t="shared" si="4"/>
        <v/>
      </c>
      <c r="Z91" s="10" t="str">
        <f t="shared" si="5"/>
        <v/>
      </c>
      <c r="AA91" s="10"/>
      <c r="AB91" s="10"/>
      <c r="AC91" s="10"/>
      <c r="AD91" s="10"/>
      <c r="AE91" s="11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1"/>
      <c r="J92" s="11"/>
      <c r="K92" s="10"/>
      <c r="L92" s="10"/>
      <c r="M92" s="10"/>
      <c r="N92" s="10"/>
      <c r="O92" s="10"/>
      <c r="P92" s="10"/>
      <c r="Q92" s="10"/>
      <c r="R92" s="10"/>
      <c r="S92" s="10" t="str">
        <f t="shared" si="1"/>
        <v/>
      </c>
      <c r="T92" s="12" t="str">
        <f t="shared" si="2"/>
        <v/>
      </c>
      <c r="U92" s="10" t="str">
        <f t="shared" si="3"/>
        <v/>
      </c>
      <c r="V92" s="10"/>
      <c r="W92" s="10"/>
      <c r="X92" s="10"/>
      <c r="Y92" s="13" t="str">
        <f t="shared" si="4"/>
        <v/>
      </c>
      <c r="Z92" s="10" t="str">
        <f t="shared" si="5"/>
        <v/>
      </c>
      <c r="AA92" s="10"/>
      <c r="AB92" s="10"/>
      <c r="AC92" s="10"/>
      <c r="AD92" s="10"/>
      <c r="AE92" s="11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1"/>
      <c r="J93" s="11"/>
      <c r="K93" s="10"/>
      <c r="L93" s="10"/>
      <c r="M93" s="10"/>
      <c r="N93" s="10"/>
      <c r="O93" s="10"/>
      <c r="P93" s="10"/>
      <c r="Q93" s="10"/>
      <c r="R93" s="10"/>
      <c r="S93" s="10" t="str">
        <f t="shared" si="1"/>
        <v/>
      </c>
      <c r="T93" s="12" t="str">
        <f t="shared" si="2"/>
        <v/>
      </c>
      <c r="U93" s="10" t="str">
        <f t="shared" si="3"/>
        <v/>
      </c>
      <c r="V93" s="10"/>
      <c r="W93" s="10"/>
      <c r="X93" s="10"/>
      <c r="Y93" s="13" t="str">
        <f t="shared" si="4"/>
        <v/>
      </c>
      <c r="Z93" s="10" t="str">
        <f t="shared" si="5"/>
        <v/>
      </c>
      <c r="AA93" s="10"/>
      <c r="AB93" s="10"/>
      <c r="AC93" s="10"/>
      <c r="AD93" s="10"/>
      <c r="AE93" s="11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1"/>
      <c r="J94" s="11"/>
      <c r="K94" s="10"/>
      <c r="L94" s="10"/>
      <c r="M94" s="10"/>
      <c r="N94" s="10"/>
      <c r="O94" s="10"/>
      <c r="P94" s="10"/>
      <c r="Q94" s="10"/>
      <c r="R94" s="10"/>
      <c r="S94" s="10" t="str">
        <f t="shared" si="1"/>
        <v/>
      </c>
      <c r="T94" s="12" t="str">
        <f t="shared" si="2"/>
        <v/>
      </c>
      <c r="U94" s="10" t="str">
        <f t="shared" si="3"/>
        <v/>
      </c>
      <c r="V94" s="10"/>
      <c r="W94" s="10"/>
      <c r="X94" s="10"/>
      <c r="Y94" s="13" t="str">
        <f t="shared" si="4"/>
        <v/>
      </c>
      <c r="Z94" s="10" t="str">
        <f t="shared" si="5"/>
        <v/>
      </c>
      <c r="AA94" s="10"/>
      <c r="AB94" s="10"/>
      <c r="AC94" s="10"/>
      <c r="AD94" s="10"/>
      <c r="AE94" s="11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1"/>
      <c r="J95" s="11"/>
      <c r="K95" s="10"/>
      <c r="L95" s="10"/>
      <c r="M95" s="10"/>
      <c r="N95" s="10"/>
      <c r="O95" s="10"/>
      <c r="P95" s="10"/>
      <c r="Q95" s="10"/>
      <c r="R95" s="10"/>
      <c r="S95" s="10" t="str">
        <f t="shared" si="1"/>
        <v/>
      </c>
      <c r="T95" s="12" t="str">
        <f t="shared" si="2"/>
        <v/>
      </c>
      <c r="U95" s="10" t="str">
        <f t="shared" si="3"/>
        <v/>
      </c>
      <c r="V95" s="10"/>
      <c r="W95" s="10"/>
      <c r="X95" s="10"/>
      <c r="Y95" s="13" t="str">
        <f t="shared" si="4"/>
        <v/>
      </c>
      <c r="Z95" s="10" t="str">
        <f t="shared" si="5"/>
        <v/>
      </c>
      <c r="AA95" s="10"/>
      <c r="AB95" s="10"/>
      <c r="AC95" s="10"/>
      <c r="AD95" s="10"/>
      <c r="AE95" s="11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1"/>
      <c r="J96" s="11"/>
      <c r="K96" s="10"/>
      <c r="L96" s="10"/>
      <c r="M96" s="10"/>
      <c r="N96" s="10"/>
      <c r="O96" s="10"/>
      <c r="P96" s="10"/>
      <c r="Q96" s="10"/>
      <c r="R96" s="10"/>
      <c r="S96" s="10" t="str">
        <f t="shared" si="1"/>
        <v/>
      </c>
      <c r="T96" s="12" t="str">
        <f t="shared" si="2"/>
        <v/>
      </c>
      <c r="U96" s="10" t="str">
        <f t="shared" si="3"/>
        <v/>
      </c>
      <c r="V96" s="10"/>
      <c r="W96" s="10"/>
      <c r="X96" s="10"/>
      <c r="Y96" s="13" t="str">
        <f t="shared" si="4"/>
        <v/>
      </c>
      <c r="Z96" s="10" t="str">
        <f t="shared" si="5"/>
        <v/>
      </c>
      <c r="AA96" s="10"/>
      <c r="AB96" s="10"/>
      <c r="AC96" s="10"/>
      <c r="AD96" s="10"/>
      <c r="AE96" s="11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1"/>
      <c r="J97" s="11"/>
      <c r="K97" s="10"/>
      <c r="L97" s="10"/>
      <c r="M97" s="10"/>
      <c r="N97" s="10"/>
      <c r="O97" s="10"/>
      <c r="P97" s="10"/>
      <c r="Q97" s="10"/>
      <c r="R97" s="10"/>
      <c r="S97" s="10" t="str">
        <f t="shared" si="1"/>
        <v/>
      </c>
      <c r="T97" s="12" t="str">
        <f t="shared" si="2"/>
        <v/>
      </c>
      <c r="U97" s="10" t="str">
        <f t="shared" si="3"/>
        <v/>
      </c>
      <c r="V97" s="10"/>
      <c r="W97" s="10"/>
      <c r="X97" s="10"/>
      <c r="Y97" s="13" t="str">
        <f t="shared" si="4"/>
        <v/>
      </c>
      <c r="Z97" s="10" t="str">
        <f t="shared" si="5"/>
        <v/>
      </c>
      <c r="AA97" s="10"/>
      <c r="AB97" s="10"/>
      <c r="AC97" s="10"/>
      <c r="AD97" s="10"/>
      <c r="AE97" s="11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1"/>
      <c r="J98" s="11"/>
      <c r="K98" s="10"/>
      <c r="L98" s="10"/>
      <c r="M98" s="10"/>
      <c r="N98" s="10"/>
      <c r="O98" s="10"/>
      <c r="P98" s="10"/>
      <c r="Q98" s="10"/>
      <c r="R98" s="10"/>
      <c r="S98" s="10" t="str">
        <f t="shared" si="1"/>
        <v/>
      </c>
      <c r="T98" s="12" t="str">
        <f t="shared" si="2"/>
        <v/>
      </c>
      <c r="U98" s="10" t="str">
        <f t="shared" si="3"/>
        <v/>
      </c>
      <c r="V98" s="10"/>
      <c r="W98" s="10"/>
      <c r="X98" s="10"/>
      <c r="Y98" s="13" t="str">
        <f t="shared" si="4"/>
        <v/>
      </c>
      <c r="Z98" s="10" t="str">
        <f t="shared" si="5"/>
        <v/>
      </c>
      <c r="AA98" s="10"/>
      <c r="AB98" s="10"/>
      <c r="AC98" s="10"/>
      <c r="AD98" s="10"/>
      <c r="AE98" s="11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1"/>
      <c r="J99" s="11"/>
      <c r="K99" s="10"/>
      <c r="L99" s="10"/>
      <c r="M99" s="10"/>
      <c r="N99" s="10"/>
      <c r="O99" s="10"/>
      <c r="P99" s="10"/>
      <c r="Q99" s="10"/>
      <c r="R99" s="10"/>
      <c r="S99" s="10" t="str">
        <f t="shared" si="1"/>
        <v/>
      </c>
      <c r="T99" s="12" t="str">
        <f t="shared" si="2"/>
        <v/>
      </c>
      <c r="U99" s="10" t="str">
        <f t="shared" si="3"/>
        <v/>
      </c>
      <c r="V99" s="10"/>
      <c r="W99" s="10"/>
      <c r="X99" s="10"/>
      <c r="Y99" s="13" t="str">
        <f t="shared" si="4"/>
        <v/>
      </c>
      <c r="Z99" s="10" t="str">
        <f t="shared" si="5"/>
        <v/>
      </c>
      <c r="AA99" s="10"/>
      <c r="AB99" s="10"/>
      <c r="AC99" s="10"/>
      <c r="AD99" s="10"/>
      <c r="AE99" s="11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1"/>
      <c r="J100" s="11"/>
      <c r="K100" s="10"/>
      <c r="L100" s="10"/>
      <c r="M100" s="10"/>
      <c r="N100" s="10"/>
      <c r="O100" s="10"/>
      <c r="P100" s="10"/>
      <c r="Q100" s="10"/>
      <c r="R100" s="10"/>
      <c r="S100" s="10" t="str">
        <f t="shared" si="1"/>
        <v/>
      </c>
      <c r="T100" s="12" t="str">
        <f t="shared" si="2"/>
        <v/>
      </c>
      <c r="U100" s="10" t="str">
        <f t="shared" si="3"/>
        <v/>
      </c>
      <c r="V100" s="10"/>
      <c r="W100" s="10"/>
      <c r="X100" s="10"/>
      <c r="Y100" s="13" t="str">
        <f t="shared" si="4"/>
        <v/>
      </c>
      <c r="Z100" s="10" t="str">
        <f t="shared" si="5"/>
        <v/>
      </c>
      <c r="AA100" s="10"/>
      <c r="AB100" s="10"/>
      <c r="AC100" s="10"/>
      <c r="AD100" s="10"/>
      <c r="AE100" s="11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1"/>
      <c r="J101" s="11"/>
      <c r="K101" s="10"/>
      <c r="L101" s="10"/>
      <c r="M101" s="10"/>
      <c r="N101" s="10"/>
      <c r="O101" s="10"/>
      <c r="P101" s="10"/>
      <c r="Q101" s="10"/>
      <c r="R101" s="10"/>
      <c r="S101" s="10" t="str">
        <f t="shared" si="1"/>
        <v/>
      </c>
      <c r="T101" s="12" t="str">
        <f t="shared" si="2"/>
        <v/>
      </c>
      <c r="U101" s="10" t="str">
        <f t="shared" si="3"/>
        <v/>
      </c>
      <c r="V101" s="10"/>
      <c r="W101" s="10"/>
      <c r="X101" s="10"/>
      <c r="Y101" s="13" t="str">
        <f t="shared" si="4"/>
        <v/>
      </c>
      <c r="Z101" s="10" t="str">
        <f t="shared" si="5"/>
        <v/>
      </c>
      <c r="AA101" s="10"/>
      <c r="AB101" s="10"/>
      <c r="AC101" s="10"/>
      <c r="AD101" s="10"/>
      <c r="AE101" s="11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1"/>
      <c r="J102" s="11"/>
      <c r="K102" s="10"/>
      <c r="L102" s="10"/>
      <c r="M102" s="10"/>
      <c r="N102" s="10"/>
      <c r="O102" s="10"/>
      <c r="P102" s="10"/>
      <c r="Q102" s="10"/>
      <c r="R102" s="10"/>
      <c r="S102" s="10" t="str">
        <f t="shared" si="1"/>
        <v/>
      </c>
      <c r="T102" s="12" t="str">
        <f t="shared" si="2"/>
        <v/>
      </c>
      <c r="U102" s="10" t="str">
        <f t="shared" si="3"/>
        <v/>
      </c>
      <c r="V102" s="10"/>
      <c r="W102" s="10"/>
      <c r="X102" s="10"/>
      <c r="Y102" s="13" t="str">
        <f t="shared" si="4"/>
        <v/>
      </c>
      <c r="Z102" s="10" t="str">
        <f t="shared" si="5"/>
        <v/>
      </c>
      <c r="AA102" s="10"/>
      <c r="AB102" s="10"/>
      <c r="AC102" s="10"/>
      <c r="AD102" s="10"/>
      <c r="AE102" s="11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1"/>
      <c r="J103" s="11"/>
      <c r="K103" s="10"/>
      <c r="L103" s="10"/>
      <c r="M103" s="10"/>
      <c r="N103" s="10"/>
      <c r="O103" s="10"/>
      <c r="P103" s="10"/>
      <c r="Q103" s="10"/>
      <c r="R103" s="10"/>
      <c r="S103" s="10" t="str">
        <f t="shared" si="1"/>
        <v/>
      </c>
      <c r="T103" s="12" t="str">
        <f t="shared" si="2"/>
        <v/>
      </c>
      <c r="U103" s="10" t="str">
        <f t="shared" si="3"/>
        <v/>
      </c>
      <c r="V103" s="10"/>
      <c r="W103" s="10"/>
      <c r="X103" s="10"/>
      <c r="Y103" s="13" t="str">
        <f t="shared" si="4"/>
        <v/>
      </c>
      <c r="Z103" s="10" t="str">
        <f t="shared" si="5"/>
        <v/>
      </c>
      <c r="AA103" s="10"/>
      <c r="AB103" s="10"/>
      <c r="AC103" s="10"/>
      <c r="AD103" s="10"/>
      <c r="AE103" s="11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1"/>
      <c r="J104" s="11"/>
      <c r="K104" s="10"/>
      <c r="L104" s="10"/>
      <c r="M104" s="10"/>
      <c r="N104" s="10"/>
      <c r="O104" s="10"/>
      <c r="P104" s="10"/>
      <c r="Q104" s="10"/>
      <c r="R104" s="10"/>
      <c r="S104" s="10" t="str">
        <f t="shared" si="1"/>
        <v/>
      </c>
      <c r="T104" s="12" t="str">
        <f t="shared" si="2"/>
        <v/>
      </c>
      <c r="U104" s="10" t="str">
        <f t="shared" si="3"/>
        <v/>
      </c>
      <c r="V104" s="10"/>
      <c r="W104" s="10"/>
      <c r="X104" s="10"/>
      <c r="Y104" s="13" t="str">
        <f t="shared" si="4"/>
        <v/>
      </c>
      <c r="Z104" s="10" t="str">
        <f t="shared" si="5"/>
        <v/>
      </c>
      <c r="AA104" s="10"/>
      <c r="AB104" s="10"/>
      <c r="AC104" s="10"/>
      <c r="AD104" s="10"/>
      <c r="AE104" s="11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1"/>
      <c r="J105" s="11"/>
      <c r="K105" s="10"/>
      <c r="L105" s="10"/>
      <c r="M105" s="10"/>
      <c r="N105" s="10"/>
      <c r="O105" s="10"/>
      <c r="P105" s="10"/>
      <c r="Q105" s="10"/>
      <c r="R105" s="10"/>
      <c r="S105" s="10" t="str">
        <f t="shared" si="1"/>
        <v/>
      </c>
      <c r="T105" s="12" t="str">
        <f t="shared" si="2"/>
        <v/>
      </c>
      <c r="U105" s="10" t="str">
        <f t="shared" si="3"/>
        <v/>
      </c>
      <c r="V105" s="10"/>
      <c r="W105" s="10"/>
      <c r="X105" s="10"/>
      <c r="Y105" s="13" t="str">
        <f t="shared" si="4"/>
        <v/>
      </c>
      <c r="Z105" s="10" t="str">
        <f t="shared" si="5"/>
        <v/>
      </c>
      <c r="AA105" s="10"/>
      <c r="AB105" s="10"/>
      <c r="AC105" s="10"/>
      <c r="AD105" s="10"/>
      <c r="AE105" s="11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1"/>
      <c r="J106" s="11"/>
      <c r="K106" s="10"/>
      <c r="L106" s="10"/>
      <c r="M106" s="10"/>
      <c r="N106" s="10"/>
      <c r="O106" s="10"/>
      <c r="P106" s="10"/>
      <c r="Q106" s="10"/>
      <c r="R106" s="10"/>
      <c r="S106" s="10" t="str">
        <f t="shared" si="1"/>
        <v/>
      </c>
      <c r="T106" s="12" t="str">
        <f t="shared" si="2"/>
        <v/>
      </c>
      <c r="U106" s="10" t="str">
        <f t="shared" si="3"/>
        <v/>
      </c>
      <c r="V106" s="10"/>
      <c r="W106" s="10"/>
      <c r="X106" s="10"/>
      <c r="Y106" s="13" t="str">
        <f t="shared" si="4"/>
        <v/>
      </c>
      <c r="Z106" s="10" t="str">
        <f t="shared" si="5"/>
        <v/>
      </c>
      <c r="AA106" s="10"/>
      <c r="AB106" s="10"/>
      <c r="AC106" s="10"/>
      <c r="AD106" s="10"/>
      <c r="AE106" s="11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1"/>
      <c r="J107" s="11"/>
      <c r="K107" s="10"/>
      <c r="L107" s="10"/>
      <c r="M107" s="10"/>
      <c r="N107" s="10"/>
      <c r="O107" s="10"/>
      <c r="P107" s="10"/>
      <c r="Q107" s="10"/>
      <c r="R107" s="10"/>
      <c r="S107" s="10" t="str">
        <f t="shared" si="1"/>
        <v/>
      </c>
      <c r="T107" s="12" t="str">
        <f t="shared" si="2"/>
        <v/>
      </c>
      <c r="U107" s="10" t="str">
        <f t="shared" si="3"/>
        <v/>
      </c>
      <c r="V107" s="10"/>
      <c r="W107" s="10"/>
      <c r="X107" s="10"/>
      <c r="Y107" s="13" t="str">
        <f t="shared" si="4"/>
        <v/>
      </c>
      <c r="Z107" s="10" t="str">
        <f t="shared" si="5"/>
        <v/>
      </c>
      <c r="AA107" s="10"/>
      <c r="AB107" s="10"/>
      <c r="AC107" s="10"/>
      <c r="AD107" s="10"/>
      <c r="AE107" s="11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1"/>
      <c r="J108" s="11"/>
      <c r="K108" s="10"/>
      <c r="L108" s="10"/>
      <c r="M108" s="10"/>
      <c r="N108" s="10"/>
      <c r="O108" s="10"/>
      <c r="P108" s="10"/>
      <c r="Q108" s="10"/>
      <c r="R108" s="10"/>
      <c r="S108" s="10" t="str">
        <f t="shared" si="1"/>
        <v/>
      </c>
      <c r="T108" s="12" t="str">
        <f t="shared" si="2"/>
        <v/>
      </c>
      <c r="U108" s="10" t="str">
        <f t="shared" si="3"/>
        <v/>
      </c>
      <c r="V108" s="10"/>
      <c r="W108" s="10"/>
      <c r="X108" s="10"/>
      <c r="Y108" s="13" t="str">
        <f t="shared" si="4"/>
        <v/>
      </c>
      <c r="Z108" s="10" t="str">
        <f t="shared" si="5"/>
        <v/>
      </c>
      <c r="AA108" s="10"/>
      <c r="AB108" s="10"/>
      <c r="AC108" s="10"/>
      <c r="AD108" s="10"/>
      <c r="AE108" s="11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1"/>
      <c r="J109" s="11"/>
      <c r="K109" s="10"/>
      <c r="L109" s="10"/>
      <c r="M109" s="10"/>
      <c r="N109" s="10"/>
      <c r="O109" s="10"/>
      <c r="P109" s="10"/>
      <c r="Q109" s="10"/>
      <c r="R109" s="10"/>
      <c r="S109" s="10" t="str">
        <f t="shared" si="1"/>
        <v/>
      </c>
      <c r="T109" s="12" t="str">
        <f t="shared" si="2"/>
        <v/>
      </c>
      <c r="U109" s="10" t="str">
        <f t="shared" si="3"/>
        <v/>
      </c>
      <c r="V109" s="10"/>
      <c r="W109" s="10"/>
      <c r="X109" s="10"/>
      <c r="Y109" s="13" t="str">
        <f t="shared" si="4"/>
        <v/>
      </c>
      <c r="Z109" s="10" t="str">
        <f t="shared" si="5"/>
        <v/>
      </c>
      <c r="AA109" s="10"/>
      <c r="AB109" s="10"/>
      <c r="AC109" s="10"/>
      <c r="AD109" s="10"/>
      <c r="AE109" s="11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1"/>
      <c r="J110" s="11"/>
      <c r="K110" s="10"/>
      <c r="L110" s="10"/>
      <c r="M110" s="10"/>
      <c r="N110" s="10"/>
      <c r="O110" s="10"/>
      <c r="P110" s="10"/>
      <c r="Q110" s="10"/>
      <c r="R110" s="10"/>
      <c r="S110" s="10" t="str">
        <f t="shared" si="1"/>
        <v/>
      </c>
      <c r="T110" s="12" t="str">
        <f t="shared" si="2"/>
        <v/>
      </c>
      <c r="U110" s="10" t="str">
        <f t="shared" si="3"/>
        <v/>
      </c>
      <c r="V110" s="10"/>
      <c r="W110" s="10"/>
      <c r="X110" s="10"/>
      <c r="Y110" s="13" t="str">
        <f t="shared" si="4"/>
        <v/>
      </c>
      <c r="Z110" s="10" t="str">
        <f t="shared" si="5"/>
        <v/>
      </c>
      <c r="AA110" s="10"/>
      <c r="AB110" s="10"/>
      <c r="AC110" s="10"/>
      <c r="AD110" s="10"/>
      <c r="AE110" s="11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1"/>
      <c r="J111" s="11"/>
      <c r="K111" s="10"/>
      <c r="L111" s="10"/>
      <c r="M111" s="10"/>
      <c r="N111" s="10"/>
      <c r="O111" s="10"/>
      <c r="P111" s="10"/>
      <c r="Q111" s="10"/>
      <c r="R111" s="10"/>
      <c r="S111" s="10" t="str">
        <f t="shared" si="1"/>
        <v/>
      </c>
      <c r="T111" s="12" t="str">
        <f t="shared" si="2"/>
        <v/>
      </c>
      <c r="U111" s="10" t="str">
        <f t="shared" si="3"/>
        <v/>
      </c>
      <c r="V111" s="10"/>
      <c r="W111" s="10"/>
      <c r="X111" s="10"/>
      <c r="Y111" s="13" t="str">
        <f t="shared" si="4"/>
        <v/>
      </c>
      <c r="Z111" s="10" t="str">
        <f t="shared" si="5"/>
        <v/>
      </c>
      <c r="AA111" s="10"/>
      <c r="AB111" s="10"/>
      <c r="AC111" s="10"/>
      <c r="AD111" s="10"/>
      <c r="AE111" s="11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1"/>
      <c r="J112" s="11"/>
      <c r="K112" s="10"/>
      <c r="L112" s="10"/>
      <c r="M112" s="10"/>
      <c r="N112" s="10"/>
      <c r="O112" s="10"/>
      <c r="P112" s="10"/>
      <c r="Q112" s="10"/>
      <c r="R112" s="10"/>
      <c r="S112" s="10" t="str">
        <f t="shared" si="1"/>
        <v/>
      </c>
      <c r="T112" s="12" t="str">
        <f t="shared" si="2"/>
        <v/>
      </c>
      <c r="U112" s="10" t="str">
        <f t="shared" si="3"/>
        <v/>
      </c>
      <c r="V112" s="10"/>
      <c r="W112" s="10"/>
      <c r="X112" s="10"/>
      <c r="Y112" s="13" t="str">
        <f t="shared" si="4"/>
        <v/>
      </c>
      <c r="Z112" s="10" t="str">
        <f t="shared" si="5"/>
        <v/>
      </c>
      <c r="AA112" s="10"/>
      <c r="AB112" s="10"/>
      <c r="AC112" s="10"/>
      <c r="AD112" s="10"/>
      <c r="AE112" s="11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1"/>
      <c r="J113" s="11"/>
      <c r="K113" s="10"/>
      <c r="L113" s="10"/>
      <c r="M113" s="10"/>
      <c r="N113" s="10"/>
      <c r="O113" s="10"/>
      <c r="P113" s="10"/>
      <c r="Q113" s="10"/>
      <c r="R113" s="10"/>
      <c r="S113" s="10" t="str">
        <f t="shared" si="1"/>
        <v/>
      </c>
      <c r="T113" s="12" t="str">
        <f t="shared" si="2"/>
        <v/>
      </c>
      <c r="U113" s="10" t="str">
        <f t="shared" si="3"/>
        <v/>
      </c>
      <c r="V113" s="10"/>
      <c r="W113" s="10"/>
      <c r="X113" s="10"/>
      <c r="Y113" s="13" t="str">
        <f t="shared" si="4"/>
        <v/>
      </c>
      <c r="Z113" s="10" t="str">
        <f t="shared" si="5"/>
        <v/>
      </c>
      <c r="AA113" s="10"/>
      <c r="AB113" s="10"/>
      <c r="AC113" s="10"/>
      <c r="AD113" s="10"/>
      <c r="AE113" s="11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1"/>
      <c r="J114" s="11"/>
      <c r="K114" s="10"/>
      <c r="L114" s="10"/>
      <c r="M114" s="10"/>
      <c r="N114" s="10"/>
      <c r="O114" s="10"/>
      <c r="P114" s="10"/>
      <c r="Q114" s="10"/>
      <c r="R114" s="10"/>
      <c r="S114" s="10" t="str">
        <f t="shared" si="1"/>
        <v/>
      </c>
      <c r="T114" s="12" t="str">
        <f t="shared" si="2"/>
        <v/>
      </c>
      <c r="U114" s="10" t="str">
        <f t="shared" si="3"/>
        <v/>
      </c>
      <c r="V114" s="10"/>
      <c r="W114" s="10"/>
      <c r="X114" s="10"/>
      <c r="Y114" s="13" t="str">
        <f t="shared" si="4"/>
        <v/>
      </c>
      <c r="Z114" s="10" t="str">
        <f t="shared" si="5"/>
        <v/>
      </c>
      <c r="AA114" s="10"/>
      <c r="AB114" s="10"/>
      <c r="AC114" s="10"/>
      <c r="AD114" s="10"/>
      <c r="AE114" s="11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1"/>
      <c r="J115" s="11"/>
      <c r="K115" s="10"/>
      <c r="L115" s="10"/>
      <c r="M115" s="10"/>
      <c r="N115" s="10"/>
      <c r="O115" s="10"/>
      <c r="P115" s="10"/>
      <c r="Q115" s="10"/>
      <c r="R115" s="10"/>
      <c r="S115" s="10" t="str">
        <f t="shared" si="1"/>
        <v/>
      </c>
      <c r="T115" s="12" t="str">
        <f t="shared" si="2"/>
        <v/>
      </c>
      <c r="U115" s="10" t="str">
        <f t="shared" si="3"/>
        <v/>
      </c>
      <c r="V115" s="10"/>
      <c r="W115" s="10"/>
      <c r="X115" s="10"/>
      <c r="Y115" s="13" t="str">
        <f t="shared" si="4"/>
        <v/>
      </c>
      <c r="Z115" s="10" t="str">
        <f t="shared" si="5"/>
        <v/>
      </c>
      <c r="AA115" s="10"/>
      <c r="AB115" s="10"/>
      <c r="AC115" s="10"/>
      <c r="AD115" s="10"/>
      <c r="AE115" s="11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1"/>
      <c r="J116" s="11"/>
      <c r="K116" s="10"/>
      <c r="L116" s="10"/>
      <c r="M116" s="10"/>
      <c r="N116" s="10"/>
      <c r="O116" s="10"/>
      <c r="P116" s="10"/>
      <c r="Q116" s="10"/>
      <c r="R116" s="10"/>
      <c r="S116" s="10" t="str">
        <f t="shared" si="1"/>
        <v/>
      </c>
      <c r="T116" s="12" t="str">
        <f t="shared" si="2"/>
        <v/>
      </c>
      <c r="U116" s="10" t="str">
        <f t="shared" si="3"/>
        <v/>
      </c>
      <c r="V116" s="10"/>
      <c r="W116" s="10"/>
      <c r="X116" s="10"/>
      <c r="Y116" s="13" t="str">
        <f t="shared" si="4"/>
        <v/>
      </c>
      <c r="Z116" s="10" t="str">
        <f t="shared" si="5"/>
        <v/>
      </c>
      <c r="AA116" s="10"/>
      <c r="AB116" s="10"/>
      <c r="AC116" s="10"/>
      <c r="AD116" s="10"/>
      <c r="AE116" s="11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1"/>
      <c r="J117" s="11"/>
      <c r="K117" s="10"/>
      <c r="L117" s="10"/>
      <c r="M117" s="10"/>
      <c r="N117" s="10"/>
      <c r="O117" s="10"/>
      <c r="P117" s="10"/>
      <c r="Q117" s="10"/>
      <c r="R117" s="10"/>
      <c r="S117" s="10" t="str">
        <f t="shared" si="1"/>
        <v/>
      </c>
      <c r="T117" s="12" t="str">
        <f t="shared" si="2"/>
        <v/>
      </c>
      <c r="U117" s="10" t="str">
        <f t="shared" si="3"/>
        <v/>
      </c>
      <c r="V117" s="10"/>
      <c r="W117" s="10"/>
      <c r="X117" s="10"/>
      <c r="Y117" s="13" t="str">
        <f t="shared" si="4"/>
        <v/>
      </c>
      <c r="Z117" s="10" t="str">
        <f t="shared" si="5"/>
        <v/>
      </c>
      <c r="AA117" s="10"/>
      <c r="AB117" s="10"/>
      <c r="AC117" s="10"/>
      <c r="AD117" s="10"/>
      <c r="AE117" s="11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1"/>
      <c r="J118" s="11"/>
      <c r="K118" s="10"/>
      <c r="L118" s="10"/>
      <c r="M118" s="10"/>
      <c r="N118" s="10"/>
      <c r="O118" s="10"/>
      <c r="P118" s="10"/>
      <c r="Q118" s="10"/>
      <c r="R118" s="10"/>
      <c r="S118" s="10" t="str">
        <f t="shared" si="1"/>
        <v/>
      </c>
      <c r="T118" s="12" t="str">
        <f t="shared" si="2"/>
        <v/>
      </c>
      <c r="U118" s="10" t="str">
        <f t="shared" si="3"/>
        <v/>
      </c>
      <c r="V118" s="10"/>
      <c r="W118" s="10"/>
      <c r="X118" s="10"/>
      <c r="Y118" s="13" t="str">
        <f t="shared" si="4"/>
        <v/>
      </c>
      <c r="Z118" s="10" t="str">
        <f t="shared" si="5"/>
        <v/>
      </c>
      <c r="AA118" s="10"/>
      <c r="AB118" s="10"/>
      <c r="AC118" s="10"/>
      <c r="AD118" s="10"/>
      <c r="AE118" s="11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1"/>
      <c r="J119" s="11"/>
      <c r="K119" s="10"/>
      <c r="L119" s="10"/>
      <c r="M119" s="10"/>
      <c r="N119" s="10"/>
      <c r="O119" s="10"/>
      <c r="P119" s="10"/>
      <c r="Q119" s="10"/>
      <c r="R119" s="10"/>
      <c r="S119" s="10" t="str">
        <f t="shared" si="1"/>
        <v/>
      </c>
      <c r="T119" s="12" t="str">
        <f t="shared" si="2"/>
        <v/>
      </c>
      <c r="U119" s="10" t="str">
        <f t="shared" si="3"/>
        <v/>
      </c>
      <c r="V119" s="10"/>
      <c r="W119" s="10"/>
      <c r="X119" s="10"/>
      <c r="Y119" s="13" t="str">
        <f t="shared" si="4"/>
        <v/>
      </c>
      <c r="Z119" s="10" t="str">
        <f t="shared" si="5"/>
        <v/>
      </c>
      <c r="AA119" s="10"/>
      <c r="AB119" s="10"/>
      <c r="AC119" s="10"/>
      <c r="AD119" s="10"/>
      <c r="AE119" s="11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1"/>
      <c r="J120" s="11"/>
      <c r="K120" s="10"/>
      <c r="L120" s="10"/>
      <c r="M120" s="10"/>
      <c r="N120" s="10"/>
      <c r="O120" s="10"/>
      <c r="P120" s="10"/>
      <c r="Q120" s="10"/>
      <c r="R120" s="10"/>
      <c r="S120" s="10" t="str">
        <f t="shared" si="1"/>
        <v/>
      </c>
      <c r="T120" s="12" t="str">
        <f t="shared" si="2"/>
        <v/>
      </c>
      <c r="U120" s="10" t="str">
        <f t="shared" si="3"/>
        <v/>
      </c>
      <c r="V120" s="10"/>
      <c r="W120" s="10"/>
      <c r="X120" s="10"/>
      <c r="Y120" s="13" t="str">
        <f t="shared" si="4"/>
        <v/>
      </c>
      <c r="Z120" s="10" t="str">
        <f t="shared" si="5"/>
        <v/>
      </c>
      <c r="AA120" s="10"/>
      <c r="AB120" s="10"/>
      <c r="AC120" s="10"/>
      <c r="AD120" s="10"/>
      <c r="AE120" s="11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1"/>
      <c r="J121" s="11"/>
      <c r="K121" s="10"/>
      <c r="L121" s="10"/>
      <c r="M121" s="10"/>
      <c r="N121" s="10"/>
      <c r="O121" s="10"/>
      <c r="P121" s="10"/>
      <c r="Q121" s="10"/>
      <c r="R121" s="10"/>
      <c r="S121" s="10" t="str">
        <f t="shared" si="1"/>
        <v/>
      </c>
      <c r="T121" s="12" t="str">
        <f t="shared" si="2"/>
        <v/>
      </c>
      <c r="U121" s="10" t="str">
        <f t="shared" si="3"/>
        <v/>
      </c>
      <c r="V121" s="10"/>
      <c r="W121" s="10"/>
      <c r="X121" s="10"/>
      <c r="Y121" s="13" t="str">
        <f t="shared" si="4"/>
        <v/>
      </c>
      <c r="Z121" s="10" t="str">
        <f t="shared" si="5"/>
        <v/>
      </c>
      <c r="AA121" s="10"/>
      <c r="AB121" s="10"/>
      <c r="AC121" s="10"/>
      <c r="AD121" s="10"/>
      <c r="AE121" s="11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1"/>
      <c r="J122" s="11"/>
      <c r="K122" s="10"/>
      <c r="L122" s="10"/>
      <c r="M122" s="10"/>
      <c r="N122" s="10"/>
      <c r="O122" s="10"/>
      <c r="P122" s="10"/>
      <c r="Q122" s="10"/>
      <c r="R122" s="10"/>
      <c r="S122" s="10" t="str">
        <f t="shared" si="1"/>
        <v/>
      </c>
      <c r="T122" s="12" t="str">
        <f t="shared" si="2"/>
        <v/>
      </c>
      <c r="U122" s="10" t="str">
        <f t="shared" si="3"/>
        <v/>
      </c>
      <c r="V122" s="10"/>
      <c r="W122" s="10"/>
      <c r="X122" s="10"/>
      <c r="Y122" s="13" t="str">
        <f t="shared" si="4"/>
        <v/>
      </c>
      <c r="Z122" s="10" t="str">
        <f t="shared" si="5"/>
        <v/>
      </c>
      <c r="AA122" s="10"/>
      <c r="AB122" s="10"/>
      <c r="AC122" s="10"/>
      <c r="AD122" s="10"/>
      <c r="AE122" s="11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1"/>
      <c r="J123" s="11"/>
      <c r="K123" s="10"/>
      <c r="L123" s="10"/>
      <c r="M123" s="10"/>
      <c r="N123" s="10"/>
      <c r="O123" s="10"/>
      <c r="P123" s="10"/>
      <c r="Q123" s="10"/>
      <c r="R123" s="10"/>
      <c r="S123" s="10" t="str">
        <f t="shared" si="1"/>
        <v/>
      </c>
      <c r="T123" s="12" t="str">
        <f t="shared" si="2"/>
        <v/>
      </c>
      <c r="U123" s="10" t="str">
        <f t="shared" si="3"/>
        <v/>
      </c>
      <c r="V123" s="10"/>
      <c r="W123" s="10"/>
      <c r="X123" s="10"/>
      <c r="Y123" s="13" t="str">
        <f t="shared" si="4"/>
        <v/>
      </c>
      <c r="Z123" s="10" t="str">
        <f t="shared" si="5"/>
        <v/>
      </c>
      <c r="AA123" s="10"/>
      <c r="AB123" s="10"/>
      <c r="AC123" s="10"/>
      <c r="AD123" s="10"/>
      <c r="AE123" s="11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1"/>
      <c r="J124" s="11"/>
      <c r="K124" s="10"/>
      <c r="L124" s="10"/>
      <c r="M124" s="10"/>
      <c r="N124" s="10"/>
      <c r="O124" s="10"/>
      <c r="P124" s="10"/>
      <c r="Q124" s="10"/>
      <c r="R124" s="10"/>
      <c r="S124" s="10" t="str">
        <f t="shared" si="1"/>
        <v/>
      </c>
      <c r="T124" s="12" t="str">
        <f t="shared" si="2"/>
        <v/>
      </c>
      <c r="U124" s="10" t="str">
        <f t="shared" si="3"/>
        <v/>
      </c>
      <c r="V124" s="10"/>
      <c r="W124" s="10"/>
      <c r="X124" s="10"/>
      <c r="Y124" s="13" t="str">
        <f t="shared" si="4"/>
        <v/>
      </c>
      <c r="Z124" s="10" t="str">
        <f t="shared" si="5"/>
        <v/>
      </c>
      <c r="AA124" s="10"/>
      <c r="AB124" s="10"/>
      <c r="AC124" s="10"/>
      <c r="AD124" s="10"/>
      <c r="AE124" s="11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1"/>
      <c r="J125" s="11"/>
      <c r="K125" s="10"/>
      <c r="L125" s="10"/>
      <c r="M125" s="10"/>
      <c r="N125" s="10"/>
      <c r="O125" s="10"/>
      <c r="P125" s="10"/>
      <c r="Q125" s="10"/>
      <c r="R125" s="10"/>
      <c r="S125" s="10" t="str">
        <f t="shared" si="1"/>
        <v/>
      </c>
      <c r="T125" s="12" t="str">
        <f t="shared" si="2"/>
        <v/>
      </c>
      <c r="U125" s="10" t="str">
        <f t="shared" si="3"/>
        <v/>
      </c>
      <c r="V125" s="10"/>
      <c r="W125" s="10"/>
      <c r="X125" s="10"/>
      <c r="Y125" s="13" t="str">
        <f t="shared" si="4"/>
        <v/>
      </c>
      <c r="Z125" s="10" t="str">
        <f t="shared" si="5"/>
        <v/>
      </c>
      <c r="AA125" s="10"/>
      <c r="AB125" s="10"/>
      <c r="AC125" s="10"/>
      <c r="AD125" s="10"/>
      <c r="AE125" s="11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1"/>
      <c r="J126" s="11"/>
      <c r="K126" s="10"/>
      <c r="L126" s="10"/>
      <c r="M126" s="10"/>
      <c r="N126" s="10"/>
      <c r="O126" s="10"/>
      <c r="P126" s="10"/>
      <c r="Q126" s="10"/>
      <c r="R126" s="10"/>
      <c r="S126" s="10" t="str">
        <f t="shared" si="1"/>
        <v/>
      </c>
      <c r="T126" s="12" t="str">
        <f t="shared" si="2"/>
        <v/>
      </c>
      <c r="U126" s="10" t="str">
        <f t="shared" si="3"/>
        <v/>
      </c>
      <c r="V126" s="10"/>
      <c r="W126" s="10"/>
      <c r="X126" s="10"/>
      <c r="Y126" s="13" t="str">
        <f t="shared" si="4"/>
        <v/>
      </c>
      <c r="Z126" s="10" t="str">
        <f t="shared" si="5"/>
        <v/>
      </c>
      <c r="AA126" s="10"/>
      <c r="AB126" s="10"/>
      <c r="AC126" s="10"/>
      <c r="AD126" s="10"/>
      <c r="AE126" s="11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1"/>
      <c r="J127" s="11"/>
      <c r="K127" s="10"/>
      <c r="L127" s="10"/>
      <c r="M127" s="10"/>
      <c r="N127" s="10"/>
      <c r="O127" s="10"/>
      <c r="P127" s="10"/>
      <c r="Q127" s="10"/>
      <c r="R127" s="10"/>
      <c r="S127" s="10" t="str">
        <f t="shared" si="1"/>
        <v/>
      </c>
      <c r="T127" s="12" t="str">
        <f t="shared" si="2"/>
        <v/>
      </c>
      <c r="U127" s="10" t="str">
        <f t="shared" si="3"/>
        <v/>
      </c>
      <c r="V127" s="10"/>
      <c r="W127" s="10"/>
      <c r="X127" s="10"/>
      <c r="Y127" s="13" t="str">
        <f t="shared" si="4"/>
        <v/>
      </c>
      <c r="Z127" s="10" t="str">
        <f t="shared" si="5"/>
        <v/>
      </c>
      <c r="AA127" s="10"/>
      <c r="AB127" s="10"/>
      <c r="AC127" s="10"/>
      <c r="AD127" s="10"/>
      <c r="AE127" s="11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1"/>
      <c r="J128" s="11"/>
      <c r="K128" s="10"/>
      <c r="L128" s="10"/>
      <c r="M128" s="10"/>
      <c r="N128" s="10"/>
      <c r="O128" s="10"/>
      <c r="P128" s="10"/>
      <c r="Q128" s="10"/>
      <c r="R128" s="10"/>
      <c r="S128" s="10" t="str">
        <f t="shared" si="1"/>
        <v/>
      </c>
      <c r="T128" s="12" t="str">
        <f t="shared" si="2"/>
        <v/>
      </c>
      <c r="U128" s="10" t="str">
        <f t="shared" si="3"/>
        <v/>
      </c>
      <c r="V128" s="10"/>
      <c r="W128" s="10"/>
      <c r="X128" s="10"/>
      <c r="Y128" s="13" t="str">
        <f t="shared" si="4"/>
        <v/>
      </c>
      <c r="Z128" s="10" t="str">
        <f t="shared" si="5"/>
        <v/>
      </c>
      <c r="AA128" s="10"/>
      <c r="AB128" s="10"/>
      <c r="AC128" s="10"/>
      <c r="AD128" s="10"/>
      <c r="AE128" s="11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1"/>
      <c r="J129" s="11"/>
      <c r="K129" s="10"/>
      <c r="L129" s="10"/>
      <c r="M129" s="10"/>
      <c r="N129" s="10"/>
      <c r="O129" s="10"/>
      <c r="P129" s="10"/>
      <c r="Q129" s="10"/>
      <c r="R129" s="10"/>
      <c r="S129" s="10" t="str">
        <f t="shared" si="1"/>
        <v/>
      </c>
      <c r="T129" s="12" t="str">
        <f t="shared" si="2"/>
        <v/>
      </c>
      <c r="U129" s="10" t="str">
        <f t="shared" si="3"/>
        <v/>
      </c>
      <c r="V129" s="10"/>
      <c r="W129" s="10"/>
      <c r="X129" s="10"/>
      <c r="Y129" s="13" t="str">
        <f t="shared" si="4"/>
        <v/>
      </c>
      <c r="Z129" s="10" t="str">
        <f t="shared" si="5"/>
        <v/>
      </c>
      <c r="AA129" s="10"/>
      <c r="AB129" s="10"/>
      <c r="AC129" s="10"/>
      <c r="AD129" s="10"/>
      <c r="AE129" s="11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1"/>
      <c r="J130" s="11"/>
      <c r="K130" s="10"/>
      <c r="L130" s="10"/>
      <c r="M130" s="10"/>
      <c r="N130" s="10"/>
      <c r="O130" s="10"/>
      <c r="P130" s="10"/>
      <c r="Q130" s="10"/>
      <c r="R130" s="10"/>
      <c r="S130" s="10" t="str">
        <f t="shared" si="1"/>
        <v/>
      </c>
      <c r="T130" s="12" t="str">
        <f t="shared" si="2"/>
        <v/>
      </c>
      <c r="U130" s="10" t="str">
        <f t="shared" si="3"/>
        <v/>
      </c>
      <c r="V130" s="10"/>
      <c r="W130" s="10"/>
      <c r="X130" s="10"/>
      <c r="Y130" s="13" t="str">
        <f t="shared" si="4"/>
        <v/>
      </c>
      <c r="Z130" s="10" t="str">
        <f t="shared" si="5"/>
        <v/>
      </c>
      <c r="AA130" s="10"/>
      <c r="AB130" s="10"/>
      <c r="AC130" s="10"/>
      <c r="AD130" s="10"/>
      <c r="AE130" s="11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1"/>
      <c r="J131" s="11"/>
      <c r="K131" s="10"/>
      <c r="L131" s="10"/>
      <c r="M131" s="10"/>
      <c r="N131" s="10"/>
      <c r="O131" s="10"/>
      <c r="P131" s="10"/>
      <c r="Q131" s="10"/>
      <c r="R131" s="10"/>
      <c r="S131" s="10" t="str">
        <f t="shared" si="1"/>
        <v/>
      </c>
      <c r="T131" s="12" t="str">
        <f t="shared" si="2"/>
        <v/>
      </c>
      <c r="U131" s="10" t="str">
        <f t="shared" si="3"/>
        <v/>
      </c>
      <c r="V131" s="10"/>
      <c r="W131" s="10"/>
      <c r="X131" s="10"/>
      <c r="Y131" s="13" t="str">
        <f t="shared" si="4"/>
        <v/>
      </c>
      <c r="Z131" s="10" t="str">
        <f t="shared" si="5"/>
        <v/>
      </c>
      <c r="AA131" s="10"/>
      <c r="AB131" s="10"/>
      <c r="AC131" s="10"/>
      <c r="AD131" s="10"/>
      <c r="AE131" s="11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1"/>
      <c r="J132" s="11"/>
      <c r="K132" s="10"/>
      <c r="L132" s="10"/>
      <c r="M132" s="10"/>
      <c r="N132" s="10"/>
      <c r="O132" s="10"/>
      <c r="P132" s="10"/>
      <c r="Q132" s="10"/>
      <c r="R132" s="10"/>
      <c r="S132" s="10" t="str">
        <f t="shared" si="1"/>
        <v/>
      </c>
      <c r="T132" s="12" t="str">
        <f t="shared" si="2"/>
        <v/>
      </c>
      <c r="U132" s="10" t="str">
        <f t="shared" si="3"/>
        <v/>
      </c>
      <c r="V132" s="10"/>
      <c r="W132" s="10"/>
      <c r="X132" s="10"/>
      <c r="Y132" s="13" t="str">
        <f t="shared" si="4"/>
        <v/>
      </c>
      <c r="Z132" s="10" t="str">
        <f t="shared" si="5"/>
        <v/>
      </c>
      <c r="AA132" s="10"/>
      <c r="AB132" s="10"/>
      <c r="AC132" s="10"/>
      <c r="AD132" s="10"/>
      <c r="AE132" s="11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1"/>
      <c r="J133" s="11"/>
      <c r="K133" s="10"/>
      <c r="L133" s="10"/>
      <c r="M133" s="10"/>
      <c r="N133" s="10"/>
      <c r="O133" s="10"/>
      <c r="P133" s="10"/>
      <c r="Q133" s="10"/>
      <c r="R133" s="10"/>
      <c r="S133" s="10" t="str">
        <f t="shared" si="1"/>
        <v/>
      </c>
      <c r="T133" s="12" t="str">
        <f t="shared" si="2"/>
        <v/>
      </c>
      <c r="U133" s="10" t="str">
        <f t="shared" si="3"/>
        <v/>
      </c>
      <c r="V133" s="10"/>
      <c r="W133" s="10"/>
      <c r="X133" s="10"/>
      <c r="Y133" s="13" t="str">
        <f t="shared" si="4"/>
        <v/>
      </c>
      <c r="Z133" s="10" t="str">
        <f t="shared" si="5"/>
        <v/>
      </c>
      <c r="AA133" s="10"/>
      <c r="AB133" s="10"/>
      <c r="AC133" s="10"/>
      <c r="AD133" s="10"/>
      <c r="AE133" s="11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1"/>
      <c r="J134" s="11"/>
      <c r="K134" s="10"/>
      <c r="L134" s="10"/>
      <c r="M134" s="10"/>
      <c r="N134" s="10"/>
      <c r="O134" s="10"/>
      <c r="P134" s="10"/>
      <c r="Q134" s="10"/>
      <c r="R134" s="10"/>
      <c r="S134" s="10" t="str">
        <f t="shared" si="1"/>
        <v/>
      </c>
      <c r="T134" s="12" t="str">
        <f t="shared" si="2"/>
        <v/>
      </c>
      <c r="U134" s="10" t="str">
        <f t="shared" si="3"/>
        <v/>
      </c>
      <c r="V134" s="10"/>
      <c r="W134" s="10"/>
      <c r="X134" s="10"/>
      <c r="Y134" s="13" t="str">
        <f t="shared" si="4"/>
        <v/>
      </c>
      <c r="Z134" s="10" t="str">
        <f t="shared" si="5"/>
        <v/>
      </c>
      <c r="AA134" s="10"/>
      <c r="AB134" s="10"/>
      <c r="AC134" s="10"/>
      <c r="AD134" s="10"/>
      <c r="AE134" s="11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1"/>
      <c r="J135" s="11"/>
      <c r="K135" s="10"/>
      <c r="L135" s="10"/>
      <c r="M135" s="10"/>
      <c r="N135" s="10"/>
      <c r="O135" s="10"/>
      <c r="P135" s="10"/>
      <c r="Q135" s="10"/>
      <c r="R135" s="10"/>
      <c r="S135" s="10" t="str">
        <f t="shared" si="1"/>
        <v/>
      </c>
      <c r="T135" s="12" t="str">
        <f t="shared" si="2"/>
        <v/>
      </c>
      <c r="U135" s="10" t="str">
        <f t="shared" si="3"/>
        <v/>
      </c>
      <c r="V135" s="10"/>
      <c r="W135" s="10"/>
      <c r="X135" s="10"/>
      <c r="Y135" s="13" t="str">
        <f t="shared" si="4"/>
        <v/>
      </c>
      <c r="Z135" s="10" t="str">
        <f t="shared" si="5"/>
        <v/>
      </c>
      <c r="AA135" s="10"/>
      <c r="AB135" s="10"/>
      <c r="AC135" s="10"/>
      <c r="AD135" s="10"/>
      <c r="AE135" s="11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1"/>
      <c r="J136" s="11"/>
      <c r="K136" s="10"/>
      <c r="L136" s="10"/>
      <c r="M136" s="10"/>
      <c r="N136" s="10"/>
      <c r="O136" s="10"/>
      <c r="P136" s="10"/>
      <c r="Q136" s="10"/>
      <c r="R136" s="10"/>
      <c r="S136" s="10" t="str">
        <f t="shared" si="1"/>
        <v/>
      </c>
      <c r="T136" s="12" t="str">
        <f t="shared" si="2"/>
        <v/>
      </c>
      <c r="U136" s="10" t="str">
        <f t="shared" si="3"/>
        <v/>
      </c>
      <c r="V136" s="10"/>
      <c r="W136" s="10"/>
      <c r="X136" s="10"/>
      <c r="Y136" s="13" t="str">
        <f t="shared" si="4"/>
        <v/>
      </c>
      <c r="Z136" s="10" t="str">
        <f t="shared" si="5"/>
        <v/>
      </c>
      <c r="AA136" s="10"/>
      <c r="AB136" s="10"/>
      <c r="AC136" s="10"/>
      <c r="AD136" s="10"/>
      <c r="AE136" s="11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1"/>
      <c r="J137" s="11"/>
      <c r="K137" s="10"/>
      <c r="L137" s="10"/>
      <c r="M137" s="10"/>
      <c r="N137" s="10"/>
      <c r="O137" s="10"/>
      <c r="P137" s="10"/>
      <c r="Q137" s="10"/>
      <c r="R137" s="10"/>
      <c r="S137" s="10" t="str">
        <f t="shared" si="1"/>
        <v/>
      </c>
      <c r="T137" s="12" t="str">
        <f t="shared" si="2"/>
        <v/>
      </c>
      <c r="U137" s="10" t="str">
        <f t="shared" si="3"/>
        <v/>
      </c>
      <c r="V137" s="10"/>
      <c r="W137" s="10"/>
      <c r="X137" s="10"/>
      <c r="Y137" s="13" t="str">
        <f t="shared" si="4"/>
        <v/>
      </c>
      <c r="Z137" s="10" t="str">
        <f t="shared" si="5"/>
        <v/>
      </c>
      <c r="AA137" s="10"/>
      <c r="AB137" s="10"/>
      <c r="AC137" s="10"/>
      <c r="AD137" s="10"/>
      <c r="AE137" s="11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1"/>
      <c r="J138" s="11"/>
      <c r="K138" s="10"/>
      <c r="L138" s="10"/>
      <c r="M138" s="10"/>
      <c r="N138" s="10"/>
      <c r="O138" s="10"/>
      <c r="P138" s="10"/>
      <c r="Q138" s="10"/>
      <c r="R138" s="10"/>
      <c r="S138" s="10" t="str">
        <f t="shared" si="1"/>
        <v/>
      </c>
      <c r="T138" s="12" t="str">
        <f t="shared" si="2"/>
        <v/>
      </c>
      <c r="U138" s="10" t="str">
        <f t="shared" si="3"/>
        <v/>
      </c>
      <c r="V138" s="10"/>
      <c r="W138" s="10"/>
      <c r="X138" s="10"/>
      <c r="Y138" s="13" t="str">
        <f t="shared" si="4"/>
        <v/>
      </c>
      <c r="Z138" s="10" t="str">
        <f t="shared" si="5"/>
        <v/>
      </c>
      <c r="AA138" s="10"/>
      <c r="AB138" s="10"/>
      <c r="AC138" s="10"/>
      <c r="AD138" s="10"/>
      <c r="AE138" s="11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1"/>
      <c r="J139" s="11"/>
      <c r="K139" s="10"/>
      <c r="L139" s="10"/>
      <c r="M139" s="10"/>
      <c r="N139" s="10"/>
      <c r="O139" s="10"/>
      <c r="P139" s="10"/>
      <c r="Q139" s="10"/>
      <c r="R139" s="10"/>
      <c r="S139" s="10" t="str">
        <f t="shared" si="1"/>
        <v/>
      </c>
      <c r="T139" s="12" t="str">
        <f t="shared" si="2"/>
        <v/>
      </c>
      <c r="U139" s="10" t="str">
        <f t="shared" si="3"/>
        <v/>
      </c>
      <c r="V139" s="10"/>
      <c r="W139" s="10"/>
      <c r="X139" s="10"/>
      <c r="Y139" s="13" t="str">
        <f t="shared" si="4"/>
        <v/>
      </c>
      <c r="Z139" s="10" t="str">
        <f t="shared" si="5"/>
        <v/>
      </c>
      <c r="AA139" s="10"/>
      <c r="AB139" s="10"/>
      <c r="AC139" s="10"/>
      <c r="AD139" s="10"/>
      <c r="AE139" s="11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1"/>
      <c r="J140" s="11"/>
      <c r="K140" s="10"/>
      <c r="L140" s="10"/>
      <c r="M140" s="10"/>
      <c r="N140" s="10"/>
      <c r="O140" s="10"/>
      <c r="P140" s="10"/>
      <c r="Q140" s="10"/>
      <c r="R140" s="10"/>
      <c r="S140" s="10" t="str">
        <f t="shared" si="1"/>
        <v/>
      </c>
      <c r="T140" s="12" t="str">
        <f t="shared" si="2"/>
        <v/>
      </c>
      <c r="U140" s="10" t="str">
        <f t="shared" si="3"/>
        <v/>
      </c>
      <c r="V140" s="10"/>
      <c r="W140" s="10"/>
      <c r="X140" s="10"/>
      <c r="Y140" s="13" t="str">
        <f t="shared" si="4"/>
        <v/>
      </c>
      <c r="Z140" s="10" t="str">
        <f t="shared" si="5"/>
        <v/>
      </c>
      <c r="AA140" s="10"/>
      <c r="AB140" s="10"/>
      <c r="AC140" s="10"/>
      <c r="AD140" s="10"/>
      <c r="AE140" s="11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1"/>
      <c r="J141" s="11"/>
      <c r="K141" s="10"/>
      <c r="L141" s="10"/>
      <c r="M141" s="10"/>
      <c r="N141" s="10"/>
      <c r="O141" s="10"/>
      <c r="P141" s="10"/>
      <c r="Q141" s="10"/>
      <c r="R141" s="10"/>
      <c r="S141" s="10" t="str">
        <f t="shared" si="1"/>
        <v/>
      </c>
      <c r="T141" s="12" t="str">
        <f t="shared" si="2"/>
        <v/>
      </c>
      <c r="U141" s="10" t="str">
        <f t="shared" si="3"/>
        <v/>
      </c>
      <c r="V141" s="10"/>
      <c r="W141" s="10"/>
      <c r="X141" s="10"/>
      <c r="Y141" s="13" t="str">
        <f t="shared" si="4"/>
        <v/>
      </c>
      <c r="Z141" s="10" t="str">
        <f t="shared" si="5"/>
        <v/>
      </c>
      <c r="AA141" s="10"/>
      <c r="AB141" s="10"/>
      <c r="AC141" s="10"/>
      <c r="AD141" s="10"/>
      <c r="AE141" s="11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1"/>
      <c r="J142" s="11"/>
      <c r="K142" s="10"/>
      <c r="L142" s="10"/>
      <c r="M142" s="10"/>
      <c r="N142" s="10"/>
      <c r="O142" s="10"/>
      <c r="P142" s="10"/>
      <c r="Q142" s="10"/>
      <c r="R142" s="10"/>
      <c r="S142" s="10" t="str">
        <f t="shared" si="1"/>
        <v/>
      </c>
      <c r="T142" s="12" t="str">
        <f t="shared" si="2"/>
        <v/>
      </c>
      <c r="U142" s="10" t="str">
        <f t="shared" si="3"/>
        <v/>
      </c>
      <c r="V142" s="10"/>
      <c r="W142" s="10"/>
      <c r="X142" s="10"/>
      <c r="Y142" s="13" t="str">
        <f t="shared" si="4"/>
        <v/>
      </c>
      <c r="Z142" s="10" t="str">
        <f t="shared" si="5"/>
        <v/>
      </c>
      <c r="AA142" s="10"/>
      <c r="AB142" s="10"/>
      <c r="AC142" s="10"/>
      <c r="AD142" s="10"/>
      <c r="AE142" s="11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1"/>
      <c r="J143" s="11"/>
      <c r="K143" s="10"/>
      <c r="L143" s="10"/>
      <c r="M143" s="10"/>
      <c r="N143" s="10"/>
      <c r="O143" s="10"/>
      <c r="P143" s="10"/>
      <c r="Q143" s="10"/>
      <c r="R143" s="10"/>
      <c r="S143" s="10" t="str">
        <f t="shared" si="1"/>
        <v/>
      </c>
      <c r="T143" s="12" t="str">
        <f t="shared" si="2"/>
        <v/>
      </c>
      <c r="U143" s="10" t="str">
        <f t="shared" si="3"/>
        <v/>
      </c>
      <c r="V143" s="10"/>
      <c r="W143" s="10"/>
      <c r="X143" s="10"/>
      <c r="Y143" s="13" t="str">
        <f t="shared" si="4"/>
        <v/>
      </c>
      <c r="Z143" s="10" t="str">
        <f t="shared" si="5"/>
        <v/>
      </c>
      <c r="AA143" s="10"/>
      <c r="AB143" s="10"/>
      <c r="AC143" s="10"/>
      <c r="AD143" s="10"/>
      <c r="AE143" s="11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1"/>
      <c r="J144" s="11"/>
      <c r="K144" s="10"/>
      <c r="L144" s="10"/>
      <c r="M144" s="10"/>
      <c r="N144" s="10"/>
      <c r="O144" s="10"/>
      <c r="P144" s="10"/>
      <c r="Q144" s="10"/>
      <c r="R144" s="10"/>
      <c r="S144" s="10" t="str">
        <f t="shared" si="1"/>
        <v/>
      </c>
      <c r="T144" s="12" t="str">
        <f t="shared" si="2"/>
        <v/>
      </c>
      <c r="U144" s="10" t="str">
        <f t="shared" si="3"/>
        <v/>
      </c>
      <c r="V144" s="10"/>
      <c r="W144" s="10"/>
      <c r="X144" s="10"/>
      <c r="Y144" s="13" t="str">
        <f t="shared" si="4"/>
        <v/>
      </c>
      <c r="Z144" s="10" t="str">
        <f t="shared" si="5"/>
        <v/>
      </c>
      <c r="AA144" s="10"/>
      <c r="AB144" s="10"/>
      <c r="AC144" s="10"/>
      <c r="AD144" s="10"/>
      <c r="AE144" s="11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1"/>
      <c r="J145" s="11"/>
      <c r="K145" s="10"/>
      <c r="L145" s="10"/>
      <c r="M145" s="10"/>
      <c r="N145" s="10"/>
      <c r="O145" s="10"/>
      <c r="P145" s="10"/>
      <c r="Q145" s="10"/>
      <c r="R145" s="10"/>
      <c r="S145" s="10" t="str">
        <f t="shared" si="1"/>
        <v/>
      </c>
      <c r="T145" s="12" t="str">
        <f t="shared" si="2"/>
        <v/>
      </c>
      <c r="U145" s="10" t="str">
        <f t="shared" si="3"/>
        <v/>
      </c>
      <c r="V145" s="10"/>
      <c r="W145" s="10"/>
      <c r="X145" s="10"/>
      <c r="Y145" s="13" t="str">
        <f t="shared" si="4"/>
        <v/>
      </c>
      <c r="Z145" s="10" t="str">
        <f t="shared" si="5"/>
        <v/>
      </c>
      <c r="AA145" s="10"/>
      <c r="AB145" s="10"/>
      <c r="AC145" s="10"/>
      <c r="AD145" s="10"/>
      <c r="AE145" s="11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1"/>
      <c r="J146" s="11"/>
      <c r="K146" s="10"/>
      <c r="L146" s="10"/>
      <c r="M146" s="10"/>
      <c r="N146" s="10"/>
      <c r="O146" s="10"/>
      <c r="P146" s="10"/>
      <c r="Q146" s="10"/>
      <c r="R146" s="10"/>
      <c r="S146" s="10" t="str">
        <f t="shared" si="1"/>
        <v/>
      </c>
      <c r="T146" s="12" t="str">
        <f t="shared" si="2"/>
        <v/>
      </c>
      <c r="U146" s="10" t="str">
        <f t="shared" si="3"/>
        <v/>
      </c>
      <c r="V146" s="10"/>
      <c r="W146" s="10"/>
      <c r="X146" s="10"/>
      <c r="Y146" s="13" t="str">
        <f t="shared" si="4"/>
        <v/>
      </c>
      <c r="Z146" s="10" t="str">
        <f t="shared" si="5"/>
        <v/>
      </c>
      <c r="AA146" s="10"/>
      <c r="AB146" s="10"/>
      <c r="AC146" s="10"/>
      <c r="AD146" s="10"/>
      <c r="AE146" s="11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1"/>
      <c r="J147" s="11"/>
      <c r="K147" s="10"/>
      <c r="L147" s="10"/>
      <c r="M147" s="10"/>
      <c r="N147" s="10"/>
      <c r="O147" s="10"/>
      <c r="P147" s="10"/>
      <c r="Q147" s="10"/>
      <c r="R147" s="10"/>
      <c r="S147" s="10" t="str">
        <f t="shared" si="1"/>
        <v/>
      </c>
      <c r="T147" s="12" t="str">
        <f t="shared" si="2"/>
        <v/>
      </c>
      <c r="U147" s="10" t="str">
        <f t="shared" si="3"/>
        <v/>
      </c>
      <c r="V147" s="10"/>
      <c r="W147" s="10"/>
      <c r="X147" s="10"/>
      <c r="Y147" s="13" t="str">
        <f t="shared" si="4"/>
        <v/>
      </c>
      <c r="Z147" s="10" t="str">
        <f t="shared" si="5"/>
        <v/>
      </c>
      <c r="AA147" s="10"/>
      <c r="AB147" s="10"/>
      <c r="AC147" s="10"/>
      <c r="AD147" s="10"/>
      <c r="AE147" s="11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1"/>
      <c r="J148" s="11"/>
      <c r="K148" s="10"/>
      <c r="L148" s="10"/>
      <c r="M148" s="10"/>
      <c r="N148" s="10"/>
      <c r="O148" s="10"/>
      <c r="P148" s="10"/>
      <c r="Q148" s="10"/>
      <c r="R148" s="10"/>
      <c r="S148" s="10" t="str">
        <f t="shared" si="1"/>
        <v/>
      </c>
      <c r="T148" s="12" t="str">
        <f t="shared" si="2"/>
        <v/>
      </c>
      <c r="U148" s="10" t="str">
        <f t="shared" si="3"/>
        <v/>
      </c>
      <c r="V148" s="10"/>
      <c r="W148" s="10"/>
      <c r="X148" s="10"/>
      <c r="Y148" s="13" t="str">
        <f t="shared" si="4"/>
        <v/>
      </c>
      <c r="Z148" s="10" t="str">
        <f t="shared" si="5"/>
        <v/>
      </c>
      <c r="AA148" s="10"/>
      <c r="AB148" s="10"/>
      <c r="AC148" s="10"/>
      <c r="AD148" s="10"/>
      <c r="AE148" s="11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1"/>
      <c r="J149" s="11"/>
      <c r="K149" s="10"/>
      <c r="L149" s="10"/>
      <c r="M149" s="10"/>
      <c r="N149" s="10"/>
      <c r="O149" s="10"/>
      <c r="P149" s="10"/>
      <c r="Q149" s="10"/>
      <c r="R149" s="10"/>
      <c r="S149" s="10" t="str">
        <f t="shared" si="1"/>
        <v/>
      </c>
      <c r="T149" s="12" t="str">
        <f t="shared" si="2"/>
        <v/>
      </c>
      <c r="U149" s="10" t="str">
        <f t="shared" si="3"/>
        <v/>
      </c>
      <c r="V149" s="10"/>
      <c r="W149" s="10"/>
      <c r="X149" s="10"/>
      <c r="Y149" s="13" t="str">
        <f t="shared" si="4"/>
        <v/>
      </c>
      <c r="Z149" s="10" t="str">
        <f t="shared" si="5"/>
        <v/>
      </c>
      <c r="AA149" s="10"/>
      <c r="AB149" s="10"/>
      <c r="AC149" s="10"/>
      <c r="AD149" s="10"/>
      <c r="AE149" s="11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1"/>
      <c r="J150" s="11"/>
      <c r="K150" s="10"/>
      <c r="L150" s="10"/>
      <c r="M150" s="10"/>
      <c r="N150" s="10"/>
      <c r="O150" s="10"/>
      <c r="P150" s="10"/>
      <c r="Q150" s="10"/>
      <c r="R150" s="10"/>
      <c r="S150" s="10" t="str">
        <f t="shared" si="1"/>
        <v/>
      </c>
      <c r="T150" s="12" t="str">
        <f t="shared" si="2"/>
        <v/>
      </c>
      <c r="U150" s="10" t="str">
        <f t="shared" si="3"/>
        <v/>
      </c>
      <c r="V150" s="10"/>
      <c r="W150" s="10"/>
      <c r="X150" s="10"/>
      <c r="Y150" s="13" t="str">
        <f t="shared" si="4"/>
        <v/>
      </c>
      <c r="Z150" s="10" t="str">
        <f t="shared" si="5"/>
        <v/>
      </c>
      <c r="AA150" s="10"/>
      <c r="AB150" s="10"/>
      <c r="AC150" s="10"/>
      <c r="AD150" s="10"/>
      <c r="AE150" s="11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1"/>
      <c r="J151" s="11"/>
      <c r="K151" s="10"/>
      <c r="L151" s="10"/>
      <c r="M151" s="10"/>
      <c r="N151" s="10"/>
      <c r="O151" s="10"/>
      <c r="P151" s="10"/>
      <c r="Q151" s="10"/>
      <c r="R151" s="10"/>
      <c r="S151" s="10" t="str">
        <f t="shared" si="1"/>
        <v/>
      </c>
      <c r="T151" s="12" t="str">
        <f t="shared" si="2"/>
        <v/>
      </c>
      <c r="U151" s="10" t="str">
        <f t="shared" si="3"/>
        <v/>
      </c>
      <c r="V151" s="10"/>
      <c r="W151" s="10"/>
      <c r="X151" s="10"/>
      <c r="Y151" s="13" t="str">
        <f t="shared" si="4"/>
        <v/>
      </c>
      <c r="Z151" s="10" t="str">
        <f t="shared" si="5"/>
        <v/>
      </c>
      <c r="AA151" s="10"/>
      <c r="AB151" s="10"/>
      <c r="AC151" s="10"/>
      <c r="AD151" s="10"/>
      <c r="AE151" s="11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1"/>
      <c r="J152" s="11"/>
      <c r="K152" s="10"/>
      <c r="L152" s="10"/>
      <c r="M152" s="10"/>
      <c r="N152" s="10"/>
      <c r="O152" s="10"/>
      <c r="P152" s="10"/>
      <c r="Q152" s="10"/>
      <c r="R152" s="10"/>
      <c r="S152" s="10" t="str">
        <f t="shared" si="1"/>
        <v/>
      </c>
      <c r="T152" s="12" t="str">
        <f t="shared" si="2"/>
        <v/>
      </c>
      <c r="U152" s="10" t="str">
        <f t="shared" si="3"/>
        <v/>
      </c>
      <c r="V152" s="10"/>
      <c r="W152" s="10"/>
      <c r="X152" s="10"/>
      <c r="Y152" s="13" t="str">
        <f t="shared" si="4"/>
        <v/>
      </c>
      <c r="Z152" s="10" t="str">
        <f t="shared" si="5"/>
        <v/>
      </c>
      <c r="AA152" s="10"/>
      <c r="AB152" s="10"/>
      <c r="AC152" s="10"/>
      <c r="AD152" s="10"/>
      <c r="AE152" s="11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1"/>
      <c r="J153" s="11"/>
      <c r="K153" s="10"/>
      <c r="L153" s="10"/>
      <c r="M153" s="10"/>
      <c r="N153" s="10"/>
      <c r="O153" s="10"/>
      <c r="P153" s="10"/>
      <c r="Q153" s="10"/>
      <c r="R153" s="10"/>
      <c r="S153" s="10" t="str">
        <f t="shared" si="1"/>
        <v/>
      </c>
      <c r="T153" s="12" t="str">
        <f t="shared" si="2"/>
        <v/>
      </c>
      <c r="U153" s="10" t="str">
        <f t="shared" si="3"/>
        <v/>
      </c>
      <c r="V153" s="10"/>
      <c r="W153" s="10"/>
      <c r="X153" s="10"/>
      <c r="Y153" s="13" t="str">
        <f t="shared" si="4"/>
        <v/>
      </c>
      <c r="Z153" s="10" t="str">
        <f t="shared" si="5"/>
        <v/>
      </c>
      <c r="AA153" s="10"/>
      <c r="AB153" s="10"/>
      <c r="AC153" s="10"/>
      <c r="AD153" s="10"/>
      <c r="AE153" s="11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1"/>
      <c r="J154" s="11"/>
      <c r="K154" s="10"/>
      <c r="L154" s="10"/>
      <c r="M154" s="10"/>
      <c r="N154" s="10"/>
      <c r="O154" s="10"/>
      <c r="P154" s="10"/>
      <c r="Q154" s="10"/>
      <c r="R154" s="10"/>
      <c r="S154" s="10" t="str">
        <f t="shared" si="1"/>
        <v/>
      </c>
      <c r="T154" s="12" t="str">
        <f t="shared" si="2"/>
        <v/>
      </c>
      <c r="U154" s="10" t="str">
        <f t="shared" si="3"/>
        <v/>
      </c>
      <c r="V154" s="10"/>
      <c r="W154" s="10"/>
      <c r="X154" s="10"/>
      <c r="Y154" s="13" t="str">
        <f t="shared" si="4"/>
        <v/>
      </c>
      <c r="Z154" s="10" t="str">
        <f t="shared" si="5"/>
        <v/>
      </c>
      <c r="AA154" s="10"/>
      <c r="AB154" s="10"/>
      <c r="AC154" s="10"/>
      <c r="AD154" s="10"/>
      <c r="AE154" s="11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1"/>
      <c r="J155" s="11"/>
      <c r="K155" s="10"/>
      <c r="L155" s="10"/>
      <c r="M155" s="10"/>
      <c r="N155" s="10"/>
      <c r="O155" s="10"/>
      <c r="P155" s="10"/>
      <c r="Q155" s="10"/>
      <c r="R155" s="10"/>
      <c r="S155" s="10" t="str">
        <f t="shared" si="1"/>
        <v/>
      </c>
      <c r="T155" s="12" t="str">
        <f t="shared" si="2"/>
        <v/>
      </c>
      <c r="U155" s="10" t="str">
        <f t="shared" si="3"/>
        <v/>
      </c>
      <c r="V155" s="10"/>
      <c r="W155" s="10"/>
      <c r="X155" s="10"/>
      <c r="Y155" s="13" t="str">
        <f t="shared" si="4"/>
        <v/>
      </c>
      <c r="Z155" s="10" t="str">
        <f t="shared" si="5"/>
        <v/>
      </c>
      <c r="AA155" s="10"/>
      <c r="AB155" s="10"/>
      <c r="AC155" s="10"/>
      <c r="AD155" s="10"/>
      <c r="AE155" s="11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1"/>
      <c r="J156" s="11"/>
      <c r="K156" s="10"/>
      <c r="L156" s="10"/>
      <c r="M156" s="10"/>
      <c r="N156" s="10"/>
      <c r="O156" s="10"/>
      <c r="P156" s="10"/>
      <c r="Q156" s="10"/>
      <c r="R156" s="10"/>
      <c r="S156" s="10" t="str">
        <f t="shared" si="1"/>
        <v/>
      </c>
      <c r="T156" s="12" t="str">
        <f t="shared" si="2"/>
        <v/>
      </c>
      <c r="U156" s="10" t="str">
        <f t="shared" si="3"/>
        <v/>
      </c>
      <c r="V156" s="10"/>
      <c r="W156" s="10"/>
      <c r="X156" s="10"/>
      <c r="Y156" s="13" t="str">
        <f t="shared" si="4"/>
        <v/>
      </c>
      <c r="Z156" s="10" t="str">
        <f t="shared" si="5"/>
        <v/>
      </c>
      <c r="AA156" s="10"/>
      <c r="AB156" s="10"/>
      <c r="AC156" s="10"/>
      <c r="AD156" s="10"/>
      <c r="AE156" s="11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1"/>
      <c r="J157" s="11"/>
      <c r="K157" s="10"/>
      <c r="L157" s="10"/>
      <c r="M157" s="10"/>
      <c r="N157" s="10"/>
      <c r="O157" s="10"/>
      <c r="P157" s="10"/>
      <c r="Q157" s="10"/>
      <c r="R157" s="10"/>
      <c r="S157" s="10" t="str">
        <f t="shared" si="1"/>
        <v/>
      </c>
      <c r="T157" s="12" t="str">
        <f t="shared" si="2"/>
        <v/>
      </c>
      <c r="U157" s="10" t="str">
        <f t="shared" si="3"/>
        <v/>
      </c>
      <c r="V157" s="10"/>
      <c r="W157" s="10"/>
      <c r="X157" s="10"/>
      <c r="Y157" s="13" t="str">
        <f t="shared" si="4"/>
        <v/>
      </c>
      <c r="Z157" s="10" t="str">
        <f t="shared" si="5"/>
        <v/>
      </c>
      <c r="AA157" s="10"/>
      <c r="AB157" s="10"/>
      <c r="AC157" s="10"/>
      <c r="AD157" s="10"/>
      <c r="AE157" s="11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1"/>
      <c r="J158" s="11"/>
      <c r="K158" s="10"/>
      <c r="L158" s="10"/>
      <c r="M158" s="10"/>
      <c r="N158" s="10"/>
      <c r="O158" s="10"/>
      <c r="P158" s="10"/>
      <c r="Q158" s="10"/>
      <c r="R158" s="10"/>
      <c r="S158" s="10" t="str">
        <f t="shared" si="1"/>
        <v/>
      </c>
      <c r="T158" s="12" t="str">
        <f t="shared" si="2"/>
        <v/>
      </c>
      <c r="U158" s="10" t="str">
        <f t="shared" si="3"/>
        <v/>
      </c>
      <c r="V158" s="10"/>
      <c r="W158" s="10"/>
      <c r="X158" s="10"/>
      <c r="Y158" s="13" t="str">
        <f t="shared" si="4"/>
        <v/>
      </c>
      <c r="Z158" s="10" t="str">
        <f t="shared" si="5"/>
        <v/>
      </c>
      <c r="AA158" s="10"/>
      <c r="AB158" s="10"/>
      <c r="AC158" s="10"/>
      <c r="AD158" s="10"/>
      <c r="AE158" s="11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1"/>
      <c r="J159" s="11"/>
      <c r="K159" s="10"/>
      <c r="L159" s="10"/>
      <c r="M159" s="10"/>
      <c r="N159" s="10"/>
      <c r="O159" s="10"/>
      <c r="P159" s="10"/>
      <c r="Q159" s="10"/>
      <c r="R159" s="10"/>
      <c r="S159" s="10" t="str">
        <f t="shared" si="1"/>
        <v/>
      </c>
      <c r="T159" s="12" t="str">
        <f t="shared" si="2"/>
        <v/>
      </c>
      <c r="U159" s="10" t="str">
        <f t="shared" si="3"/>
        <v/>
      </c>
      <c r="V159" s="10"/>
      <c r="W159" s="10"/>
      <c r="X159" s="10"/>
      <c r="Y159" s="13" t="str">
        <f t="shared" si="4"/>
        <v/>
      </c>
      <c r="Z159" s="10" t="str">
        <f t="shared" si="5"/>
        <v/>
      </c>
      <c r="AA159" s="10"/>
      <c r="AB159" s="10"/>
      <c r="AC159" s="10"/>
      <c r="AD159" s="10"/>
      <c r="AE159" s="11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1"/>
      <c r="J160" s="11"/>
      <c r="K160" s="10"/>
      <c r="L160" s="10"/>
      <c r="M160" s="10"/>
      <c r="N160" s="10"/>
      <c r="O160" s="10"/>
      <c r="P160" s="10"/>
      <c r="Q160" s="10"/>
      <c r="R160" s="10"/>
      <c r="S160" s="10" t="str">
        <f t="shared" si="1"/>
        <v/>
      </c>
      <c r="T160" s="12" t="str">
        <f t="shared" si="2"/>
        <v/>
      </c>
      <c r="U160" s="10" t="str">
        <f t="shared" si="3"/>
        <v/>
      </c>
      <c r="V160" s="10"/>
      <c r="W160" s="10"/>
      <c r="X160" s="10"/>
      <c r="Y160" s="13" t="str">
        <f t="shared" si="4"/>
        <v/>
      </c>
      <c r="Z160" s="10" t="str">
        <f t="shared" si="5"/>
        <v/>
      </c>
      <c r="AA160" s="10"/>
      <c r="AB160" s="10"/>
      <c r="AC160" s="10"/>
      <c r="AD160" s="10"/>
      <c r="AE160" s="11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1"/>
      <c r="J161" s="11"/>
      <c r="K161" s="10"/>
      <c r="L161" s="10"/>
      <c r="M161" s="10"/>
      <c r="N161" s="10"/>
      <c r="O161" s="10"/>
      <c r="P161" s="10"/>
      <c r="Q161" s="10"/>
      <c r="R161" s="10"/>
      <c r="S161" s="10" t="str">
        <f t="shared" si="1"/>
        <v/>
      </c>
      <c r="T161" s="12" t="str">
        <f t="shared" si="2"/>
        <v/>
      </c>
      <c r="U161" s="10" t="str">
        <f t="shared" si="3"/>
        <v/>
      </c>
      <c r="V161" s="10"/>
      <c r="W161" s="10"/>
      <c r="X161" s="10"/>
      <c r="Y161" s="13" t="str">
        <f t="shared" si="4"/>
        <v/>
      </c>
      <c r="Z161" s="10" t="str">
        <f t="shared" si="5"/>
        <v/>
      </c>
      <c r="AA161" s="10"/>
      <c r="AB161" s="10"/>
      <c r="AC161" s="10"/>
      <c r="AD161" s="10"/>
      <c r="AE161" s="11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1"/>
      <c r="J162" s="11"/>
      <c r="K162" s="10"/>
      <c r="L162" s="10"/>
      <c r="M162" s="10"/>
      <c r="N162" s="10"/>
      <c r="O162" s="10"/>
      <c r="P162" s="10"/>
      <c r="Q162" s="10"/>
      <c r="R162" s="10"/>
      <c r="S162" s="10" t="str">
        <f t="shared" si="1"/>
        <v/>
      </c>
      <c r="T162" s="12" t="str">
        <f t="shared" si="2"/>
        <v/>
      </c>
      <c r="U162" s="10" t="str">
        <f t="shared" si="3"/>
        <v/>
      </c>
      <c r="V162" s="10"/>
      <c r="W162" s="10"/>
      <c r="X162" s="10"/>
      <c r="Y162" s="13" t="str">
        <f t="shared" si="4"/>
        <v/>
      </c>
      <c r="Z162" s="10" t="str">
        <f t="shared" si="5"/>
        <v/>
      </c>
      <c r="AA162" s="10"/>
      <c r="AB162" s="10"/>
      <c r="AC162" s="10"/>
      <c r="AD162" s="10"/>
      <c r="AE162" s="11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1"/>
      <c r="J163" s="11"/>
      <c r="K163" s="10"/>
      <c r="L163" s="10"/>
      <c r="M163" s="10"/>
      <c r="N163" s="10"/>
      <c r="O163" s="10"/>
      <c r="P163" s="10"/>
      <c r="Q163" s="10"/>
      <c r="R163" s="10"/>
      <c r="S163" s="10" t="str">
        <f t="shared" si="1"/>
        <v/>
      </c>
      <c r="T163" s="12" t="str">
        <f t="shared" si="2"/>
        <v/>
      </c>
      <c r="U163" s="10" t="str">
        <f t="shared" si="3"/>
        <v/>
      </c>
      <c r="V163" s="10"/>
      <c r="W163" s="10"/>
      <c r="X163" s="10"/>
      <c r="Y163" s="13" t="str">
        <f t="shared" si="4"/>
        <v/>
      </c>
      <c r="Z163" s="10" t="str">
        <f t="shared" si="5"/>
        <v/>
      </c>
      <c r="AA163" s="10"/>
      <c r="AB163" s="10"/>
      <c r="AC163" s="10"/>
      <c r="AD163" s="10"/>
      <c r="AE163" s="11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1"/>
      <c r="J164" s="11"/>
      <c r="K164" s="10"/>
      <c r="L164" s="10"/>
      <c r="M164" s="10"/>
      <c r="N164" s="10"/>
      <c r="O164" s="10"/>
      <c r="P164" s="10"/>
      <c r="Q164" s="10"/>
      <c r="R164" s="10"/>
      <c r="S164" s="10" t="str">
        <f t="shared" si="1"/>
        <v/>
      </c>
      <c r="T164" s="12" t="str">
        <f t="shared" si="2"/>
        <v/>
      </c>
      <c r="U164" s="10" t="str">
        <f t="shared" si="3"/>
        <v/>
      </c>
      <c r="V164" s="10"/>
      <c r="W164" s="10"/>
      <c r="X164" s="10"/>
      <c r="Y164" s="13" t="str">
        <f t="shared" si="4"/>
        <v/>
      </c>
      <c r="Z164" s="10" t="str">
        <f t="shared" si="5"/>
        <v/>
      </c>
      <c r="AA164" s="10"/>
      <c r="AB164" s="10"/>
      <c r="AC164" s="10"/>
      <c r="AD164" s="10"/>
      <c r="AE164" s="11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1"/>
      <c r="J165" s="11"/>
      <c r="K165" s="10"/>
      <c r="L165" s="10"/>
      <c r="M165" s="10"/>
      <c r="N165" s="10"/>
      <c r="O165" s="10"/>
      <c r="P165" s="10"/>
      <c r="Q165" s="10"/>
      <c r="R165" s="10"/>
      <c r="S165" s="10" t="str">
        <f t="shared" si="1"/>
        <v/>
      </c>
      <c r="T165" s="12" t="str">
        <f t="shared" si="2"/>
        <v/>
      </c>
      <c r="U165" s="10" t="str">
        <f t="shared" si="3"/>
        <v/>
      </c>
      <c r="V165" s="10"/>
      <c r="W165" s="10"/>
      <c r="X165" s="10"/>
      <c r="Y165" s="13" t="str">
        <f t="shared" si="4"/>
        <v/>
      </c>
      <c r="Z165" s="10" t="str">
        <f t="shared" si="5"/>
        <v/>
      </c>
      <c r="AA165" s="10"/>
      <c r="AB165" s="10"/>
      <c r="AC165" s="10"/>
      <c r="AD165" s="10"/>
      <c r="AE165" s="11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1"/>
      <c r="J166" s="11"/>
      <c r="K166" s="10"/>
      <c r="L166" s="10"/>
      <c r="M166" s="10"/>
      <c r="N166" s="10"/>
      <c r="O166" s="10"/>
      <c r="P166" s="10"/>
      <c r="Q166" s="10"/>
      <c r="R166" s="10"/>
      <c r="S166" s="10" t="str">
        <f t="shared" si="1"/>
        <v/>
      </c>
      <c r="T166" s="12" t="str">
        <f t="shared" si="2"/>
        <v/>
      </c>
      <c r="U166" s="10" t="str">
        <f t="shared" si="3"/>
        <v/>
      </c>
      <c r="V166" s="10"/>
      <c r="W166" s="10"/>
      <c r="X166" s="10"/>
      <c r="Y166" s="13" t="str">
        <f t="shared" si="4"/>
        <v/>
      </c>
      <c r="Z166" s="10" t="str">
        <f t="shared" si="5"/>
        <v/>
      </c>
      <c r="AA166" s="10"/>
      <c r="AB166" s="10"/>
      <c r="AC166" s="10"/>
      <c r="AD166" s="10"/>
      <c r="AE166" s="11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1"/>
      <c r="J167" s="11"/>
      <c r="K167" s="10"/>
      <c r="L167" s="10"/>
      <c r="M167" s="10"/>
      <c r="N167" s="10"/>
      <c r="O167" s="10"/>
      <c r="P167" s="10"/>
      <c r="Q167" s="10"/>
      <c r="R167" s="10"/>
      <c r="S167" s="10" t="str">
        <f t="shared" si="1"/>
        <v/>
      </c>
      <c r="T167" s="12" t="str">
        <f t="shared" si="2"/>
        <v/>
      </c>
      <c r="U167" s="10" t="str">
        <f t="shared" si="3"/>
        <v/>
      </c>
      <c r="V167" s="10"/>
      <c r="W167" s="10"/>
      <c r="X167" s="10"/>
      <c r="Y167" s="13" t="str">
        <f t="shared" si="4"/>
        <v/>
      </c>
      <c r="Z167" s="10" t="str">
        <f t="shared" si="5"/>
        <v/>
      </c>
      <c r="AA167" s="10"/>
      <c r="AB167" s="10"/>
      <c r="AC167" s="10"/>
      <c r="AD167" s="10"/>
      <c r="AE167" s="11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1"/>
      <c r="J168" s="11"/>
      <c r="K168" s="10"/>
      <c r="L168" s="10"/>
      <c r="M168" s="10"/>
      <c r="N168" s="10"/>
      <c r="O168" s="10"/>
      <c r="P168" s="10"/>
      <c r="Q168" s="10"/>
      <c r="R168" s="10"/>
      <c r="S168" s="10" t="str">
        <f t="shared" si="1"/>
        <v/>
      </c>
      <c r="T168" s="12" t="str">
        <f t="shared" si="2"/>
        <v/>
      </c>
      <c r="U168" s="10" t="str">
        <f t="shared" si="3"/>
        <v/>
      </c>
      <c r="V168" s="10"/>
      <c r="W168" s="10"/>
      <c r="X168" s="10"/>
      <c r="Y168" s="13" t="str">
        <f t="shared" si="4"/>
        <v/>
      </c>
      <c r="Z168" s="10" t="str">
        <f t="shared" si="5"/>
        <v/>
      </c>
      <c r="AA168" s="10"/>
      <c r="AB168" s="10"/>
      <c r="AC168" s="10"/>
      <c r="AD168" s="10"/>
      <c r="AE168" s="11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1"/>
      <c r="J169" s="11"/>
      <c r="K169" s="10"/>
      <c r="L169" s="10"/>
      <c r="M169" s="10"/>
      <c r="N169" s="10"/>
      <c r="O169" s="10"/>
      <c r="P169" s="10"/>
      <c r="Q169" s="10"/>
      <c r="R169" s="10"/>
      <c r="S169" s="10" t="str">
        <f t="shared" si="1"/>
        <v/>
      </c>
      <c r="T169" s="12" t="str">
        <f t="shared" si="2"/>
        <v/>
      </c>
      <c r="U169" s="10" t="str">
        <f t="shared" si="3"/>
        <v/>
      </c>
      <c r="V169" s="10"/>
      <c r="W169" s="10"/>
      <c r="X169" s="10"/>
      <c r="Y169" s="13" t="str">
        <f t="shared" si="4"/>
        <v/>
      </c>
      <c r="Z169" s="10" t="str">
        <f t="shared" si="5"/>
        <v/>
      </c>
      <c r="AA169" s="10"/>
      <c r="AB169" s="10"/>
      <c r="AC169" s="10"/>
      <c r="AD169" s="10"/>
      <c r="AE169" s="11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1"/>
      <c r="J170" s="11"/>
      <c r="K170" s="10"/>
      <c r="L170" s="10"/>
      <c r="M170" s="10"/>
      <c r="N170" s="10"/>
      <c r="O170" s="10"/>
      <c r="P170" s="10"/>
      <c r="Q170" s="10"/>
      <c r="R170" s="10"/>
      <c r="S170" s="10" t="str">
        <f t="shared" si="1"/>
        <v/>
      </c>
      <c r="T170" s="12" t="str">
        <f t="shared" si="2"/>
        <v/>
      </c>
      <c r="U170" s="10" t="str">
        <f t="shared" si="3"/>
        <v/>
      </c>
      <c r="V170" s="10"/>
      <c r="W170" s="10"/>
      <c r="X170" s="10"/>
      <c r="Y170" s="13" t="str">
        <f t="shared" si="4"/>
        <v/>
      </c>
      <c r="Z170" s="10" t="str">
        <f t="shared" si="5"/>
        <v/>
      </c>
      <c r="AA170" s="10"/>
      <c r="AB170" s="10"/>
      <c r="AC170" s="10"/>
      <c r="AD170" s="10"/>
      <c r="AE170" s="11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1"/>
      <c r="J171" s="11"/>
      <c r="K171" s="10"/>
      <c r="L171" s="10"/>
      <c r="M171" s="10"/>
      <c r="N171" s="10"/>
      <c r="O171" s="10"/>
      <c r="P171" s="10"/>
      <c r="Q171" s="10"/>
      <c r="R171" s="10"/>
      <c r="S171" s="10" t="str">
        <f t="shared" si="1"/>
        <v/>
      </c>
      <c r="T171" s="12" t="str">
        <f t="shared" si="2"/>
        <v/>
      </c>
      <c r="U171" s="10" t="str">
        <f t="shared" si="3"/>
        <v/>
      </c>
      <c r="V171" s="10"/>
      <c r="W171" s="10"/>
      <c r="X171" s="10"/>
      <c r="Y171" s="13" t="str">
        <f t="shared" si="4"/>
        <v/>
      </c>
      <c r="Z171" s="10" t="str">
        <f t="shared" si="5"/>
        <v/>
      </c>
      <c r="AA171" s="10"/>
      <c r="AB171" s="10"/>
      <c r="AC171" s="10"/>
      <c r="AD171" s="10"/>
      <c r="AE171" s="11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1"/>
      <c r="J172" s="11"/>
      <c r="K172" s="10"/>
      <c r="L172" s="10"/>
      <c r="M172" s="10"/>
      <c r="N172" s="10"/>
      <c r="O172" s="10"/>
      <c r="P172" s="10"/>
      <c r="Q172" s="10"/>
      <c r="R172" s="10"/>
      <c r="S172" s="10" t="str">
        <f t="shared" si="1"/>
        <v/>
      </c>
      <c r="T172" s="12" t="str">
        <f t="shared" si="2"/>
        <v/>
      </c>
      <c r="U172" s="10" t="str">
        <f t="shared" si="3"/>
        <v/>
      </c>
      <c r="V172" s="10"/>
      <c r="W172" s="10"/>
      <c r="X172" s="10"/>
      <c r="Y172" s="13" t="str">
        <f t="shared" si="4"/>
        <v/>
      </c>
      <c r="Z172" s="10" t="str">
        <f t="shared" si="5"/>
        <v/>
      </c>
      <c r="AA172" s="10"/>
      <c r="AB172" s="10"/>
      <c r="AC172" s="10"/>
      <c r="AD172" s="10"/>
      <c r="AE172" s="11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1"/>
      <c r="J173" s="11"/>
      <c r="K173" s="10"/>
      <c r="L173" s="10"/>
      <c r="M173" s="10"/>
      <c r="N173" s="10"/>
      <c r="O173" s="10"/>
      <c r="P173" s="10"/>
      <c r="Q173" s="10"/>
      <c r="R173" s="10"/>
      <c r="S173" s="10" t="str">
        <f t="shared" si="1"/>
        <v/>
      </c>
      <c r="T173" s="12" t="str">
        <f t="shared" si="2"/>
        <v/>
      </c>
      <c r="U173" s="10" t="str">
        <f t="shared" si="3"/>
        <v/>
      </c>
      <c r="V173" s="10"/>
      <c r="W173" s="10"/>
      <c r="X173" s="10"/>
      <c r="Y173" s="13" t="str">
        <f t="shared" si="4"/>
        <v/>
      </c>
      <c r="Z173" s="10" t="str">
        <f t="shared" si="5"/>
        <v/>
      </c>
      <c r="AA173" s="10"/>
      <c r="AB173" s="10"/>
      <c r="AC173" s="10"/>
      <c r="AD173" s="10"/>
      <c r="AE173" s="11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1"/>
      <c r="J174" s="11"/>
      <c r="K174" s="10"/>
      <c r="L174" s="10"/>
      <c r="M174" s="10"/>
      <c r="N174" s="10"/>
      <c r="O174" s="10"/>
      <c r="P174" s="10"/>
      <c r="Q174" s="10"/>
      <c r="R174" s="10"/>
      <c r="S174" s="10" t="str">
        <f t="shared" si="1"/>
        <v/>
      </c>
      <c r="T174" s="12" t="str">
        <f t="shared" si="2"/>
        <v/>
      </c>
      <c r="U174" s="10" t="str">
        <f t="shared" si="3"/>
        <v/>
      </c>
      <c r="V174" s="10"/>
      <c r="W174" s="10"/>
      <c r="X174" s="10"/>
      <c r="Y174" s="13" t="str">
        <f t="shared" si="4"/>
        <v/>
      </c>
      <c r="Z174" s="10" t="str">
        <f t="shared" si="5"/>
        <v/>
      </c>
      <c r="AA174" s="10"/>
      <c r="AB174" s="10"/>
      <c r="AC174" s="10"/>
      <c r="AD174" s="10"/>
      <c r="AE174" s="11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1"/>
      <c r="J175" s="11"/>
      <c r="K175" s="10"/>
      <c r="L175" s="10"/>
      <c r="M175" s="10"/>
      <c r="N175" s="10"/>
      <c r="O175" s="10"/>
      <c r="P175" s="10"/>
      <c r="Q175" s="10"/>
      <c r="R175" s="10"/>
      <c r="S175" s="10" t="str">
        <f t="shared" si="1"/>
        <v/>
      </c>
      <c r="T175" s="12" t="str">
        <f t="shared" si="2"/>
        <v/>
      </c>
      <c r="U175" s="10" t="str">
        <f t="shared" si="3"/>
        <v/>
      </c>
      <c r="V175" s="10"/>
      <c r="W175" s="10"/>
      <c r="X175" s="10"/>
      <c r="Y175" s="13" t="str">
        <f t="shared" si="4"/>
        <v/>
      </c>
      <c r="Z175" s="10" t="str">
        <f t="shared" si="5"/>
        <v/>
      </c>
      <c r="AA175" s="10"/>
      <c r="AB175" s="10"/>
      <c r="AC175" s="10"/>
      <c r="AD175" s="10"/>
      <c r="AE175" s="11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1"/>
      <c r="J176" s="11"/>
      <c r="K176" s="10"/>
      <c r="L176" s="10"/>
      <c r="M176" s="10"/>
      <c r="N176" s="10"/>
      <c r="O176" s="10"/>
      <c r="P176" s="10"/>
      <c r="Q176" s="10"/>
      <c r="R176" s="10"/>
      <c r="S176" s="10" t="str">
        <f t="shared" si="1"/>
        <v/>
      </c>
      <c r="T176" s="12" t="str">
        <f t="shared" si="2"/>
        <v/>
      </c>
      <c r="U176" s="10" t="str">
        <f t="shared" si="3"/>
        <v/>
      </c>
      <c r="V176" s="10"/>
      <c r="W176" s="10"/>
      <c r="X176" s="10"/>
      <c r="Y176" s="13" t="str">
        <f t="shared" si="4"/>
        <v/>
      </c>
      <c r="Z176" s="10" t="str">
        <f t="shared" si="5"/>
        <v/>
      </c>
      <c r="AA176" s="10"/>
      <c r="AB176" s="10"/>
      <c r="AC176" s="10"/>
      <c r="AD176" s="10"/>
      <c r="AE176" s="11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1"/>
      <c r="J177" s="11"/>
      <c r="K177" s="10"/>
      <c r="L177" s="10"/>
      <c r="M177" s="10"/>
      <c r="N177" s="10"/>
      <c r="O177" s="10"/>
      <c r="P177" s="10"/>
      <c r="Q177" s="10"/>
      <c r="R177" s="10"/>
      <c r="S177" s="10" t="str">
        <f t="shared" si="1"/>
        <v/>
      </c>
      <c r="T177" s="12" t="str">
        <f t="shared" si="2"/>
        <v/>
      </c>
      <c r="U177" s="10" t="str">
        <f t="shared" si="3"/>
        <v/>
      </c>
      <c r="V177" s="10"/>
      <c r="W177" s="10"/>
      <c r="X177" s="10"/>
      <c r="Y177" s="13" t="str">
        <f t="shared" si="4"/>
        <v/>
      </c>
      <c r="Z177" s="10" t="str">
        <f t="shared" si="5"/>
        <v/>
      </c>
      <c r="AA177" s="10"/>
      <c r="AB177" s="10"/>
      <c r="AC177" s="10"/>
      <c r="AD177" s="10"/>
      <c r="AE177" s="11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1"/>
      <c r="J178" s="11"/>
      <c r="K178" s="10"/>
      <c r="L178" s="10"/>
      <c r="M178" s="10"/>
      <c r="N178" s="10"/>
      <c r="O178" s="10"/>
      <c r="P178" s="10"/>
      <c r="Q178" s="10"/>
      <c r="R178" s="10"/>
      <c r="S178" s="10" t="str">
        <f t="shared" si="1"/>
        <v/>
      </c>
      <c r="T178" s="12" t="str">
        <f t="shared" si="2"/>
        <v/>
      </c>
      <c r="U178" s="10" t="str">
        <f t="shared" si="3"/>
        <v/>
      </c>
      <c r="V178" s="10"/>
      <c r="W178" s="10"/>
      <c r="X178" s="10"/>
      <c r="Y178" s="13" t="str">
        <f t="shared" si="4"/>
        <v/>
      </c>
      <c r="Z178" s="10" t="str">
        <f t="shared" si="5"/>
        <v/>
      </c>
      <c r="AA178" s="10"/>
      <c r="AB178" s="10"/>
      <c r="AC178" s="10"/>
      <c r="AD178" s="10"/>
      <c r="AE178" s="11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1"/>
      <c r="J179" s="11"/>
      <c r="K179" s="10"/>
      <c r="L179" s="10"/>
      <c r="M179" s="10"/>
      <c r="N179" s="10"/>
      <c r="O179" s="10"/>
      <c r="P179" s="10"/>
      <c r="Q179" s="10"/>
      <c r="R179" s="10"/>
      <c r="S179" s="10" t="str">
        <f t="shared" si="1"/>
        <v/>
      </c>
      <c r="T179" s="12" t="str">
        <f t="shared" si="2"/>
        <v/>
      </c>
      <c r="U179" s="10" t="str">
        <f t="shared" si="3"/>
        <v/>
      </c>
      <c r="V179" s="10"/>
      <c r="W179" s="10"/>
      <c r="X179" s="10"/>
      <c r="Y179" s="13" t="str">
        <f t="shared" si="4"/>
        <v/>
      </c>
      <c r="Z179" s="10" t="str">
        <f t="shared" si="5"/>
        <v/>
      </c>
      <c r="AA179" s="10"/>
      <c r="AB179" s="10"/>
      <c r="AC179" s="10"/>
      <c r="AD179" s="10"/>
      <c r="AE179" s="11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1"/>
      <c r="J180" s="11"/>
      <c r="K180" s="10"/>
      <c r="L180" s="10"/>
      <c r="M180" s="10"/>
      <c r="N180" s="10"/>
      <c r="O180" s="10"/>
      <c r="P180" s="10"/>
      <c r="Q180" s="10"/>
      <c r="R180" s="10"/>
      <c r="S180" s="10" t="str">
        <f t="shared" si="1"/>
        <v/>
      </c>
      <c r="T180" s="12" t="str">
        <f t="shared" si="2"/>
        <v/>
      </c>
      <c r="U180" s="10" t="str">
        <f t="shared" si="3"/>
        <v/>
      </c>
      <c r="V180" s="10"/>
      <c r="W180" s="10"/>
      <c r="X180" s="10"/>
      <c r="Y180" s="13" t="str">
        <f t="shared" si="4"/>
        <v/>
      </c>
      <c r="Z180" s="10" t="str">
        <f t="shared" si="5"/>
        <v/>
      </c>
      <c r="AA180" s="10"/>
      <c r="AB180" s="10"/>
      <c r="AC180" s="10"/>
      <c r="AD180" s="10"/>
      <c r="AE180" s="11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1"/>
      <c r="J181" s="11"/>
      <c r="K181" s="10"/>
      <c r="L181" s="10"/>
      <c r="M181" s="10"/>
      <c r="N181" s="10"/>
      <c r="O181" s="10"/>
      <c r="P181" s="10"/>
      <c r="Q181" s="10"/>
      <c r="R181" s="10"/>
      <c r="S181" s="10" t="str">
        <f t="shared" si="1"/>
        <v/>
      </c>
      <c r="T181" s="12" t="str">
        <f t="shared" si="2"/>
        <v/>
      </c>
      <c r="U181" s="10" t="str">
        <f t="shared" si="3"/>
        <v/>
      </c>
      <c r="V181" s="10"/>
      <c r="W181" s="10"/>
      <c r="X181" s="10"/>
      <c r="Y181" s="13" t="str">
        <f t="shared" si="4"/>
        <v/>
      </c>
      <c r="Z181" s="10" t="str">
        <f t="shared" si="5"/>
        <v/>
      </c>
      <c r="AA181" s="10"/>
      <c r="AB181" s="10"/>
      <c r="AC181" s="10"/>
      <c r="AD181" s="10"/>
      <c r="AE181" s="11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1"/>
      <c r="J182" s="11"/>
      <c r="K182" s="10"/>
      <c r="L182" s="10"/>
      <c r="M182" s="10"/>
      <c r="N182" s="10"/>
      <c r="O182" s="10"/>
      <c r="P182" s="10"/>
      <c r="Q182" s="10"/>
      <c r="R182" s="10"/>
      <c r="S182" s="10" t="str">
        <f t="shared" si="1"/>
        <v/>
      </c>
      <c r="T182" s="12" t="str">
        <f t="shared" si="2"/>
        <v/>
      </c>
      <c r="U182" s="10" t="str">
        <f t="shared" si="3"/>
        <v/>
      </c>
      <c r="V182" s="10"/>
      <c r="W182" s="10"/>
      <c r="X182" s="10"/>
      <c r="Y182" s="13" t="str">
        <f t="shared" si="4"/>
        <v/>
      </c>
      <c r="Z182" s="10" t="str">
        <f t="shared" si="5"/>
        <v/>
      </c>
      <c r="AA182" s="10"/>
      <c r="AB182" s="10"/>
      <c r="AC182" s="10"/>
      <c r="AD182" s="10"/>
      <c r="AE182" s="11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1"/>
      <c r="J183" s="11"/>
      <c r="K183" s="10"/>
      <c r="L183" s="10"/>
      <c r="M183" s="10"/>
      <c r="N183" s="10"/>
      <c r="O183" s="10"/>
      <c r="P183" s="10"/>
      <c r="Q183" s="10"/>
      <c r="R183" s="10"/>
      <c r="S183" s="10" t="str">
        <f t="shared" si="1"/>
        <v/>
      </c>
      <c r="T183" s="12" t="str">
        <f t="shared" si="2"/>
        <v/>
      </c>
      <c r="U183" s="10" t="str">
        <f t="shared" si="3"/>
        <v/>
      </c>
      <c r="V183" s="10"/>
      <c r="W183" s="10"/>
      <c r="X183" s="10"/>
      <c r="Y183" s="13" t="str">
        <f t="shared" si="4"/>
        <v/>
      </c>
      <c r="Z183" s="10" t="str">
        <f t="shared" si="5"/>
        <v/>
      </c>
      <c r="AA183" s="10"/>
      <c r="AB183" s="10"/>
      <c r="AC183" s="10"/>
      <c r="AD183" s="10"/>
      <c r="AE183" s="11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1"/>
      <c r="J184" s="11"/>
      <c r="K184" s="10"/>
      <c r="L184" s="10"/>
      <c r="M184" s="10"/>
      <c r="N184" s="10"/>
      <c r="O184" s="10"/>
      <c r="P184" s="10"/>
      <c r="Q184" s="10"/>
      <c r="R184" s="10"/>
      <c r="S184" s="10" t="str">
        <f t="shared" si="1"/>
        <v/>
      </c>
      <c r="T184" s="12" t="str">
        <f t="shared" si="2"/>
        <v/>
      </c>
      <c r="U184" s="10" t="str">
        <f t="shared" si="3"/>
        <v/>
      </c>
      <c r="V184" s="10"/>
      <c r="W184" s="10"/>
      <c r="X184" s="10"/>
      <c r="Y184" s="13" t="str">
        <f t="shared" si="4"/>
        <v/>
      </c>
      <c r="Z184" s="10" t="str">
        <f t="shared" si="5"/>
        <v/>
      </c>
      <c r="AA184" s="10"/>
      <c r="AB184" s="10"/>
      <c r="AC184" s="10"/>
      <c r="AD184" s="10"/>
      <c r="AE184" s="11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1"/>
      <c r="J185" s="11"/>
      <c r="K185" s="10"/>
      <c r="L185" s="10"/>
      <c r="M185" s="10"/>
      <c r="N185" s="10"/>
      <c r="O185" s="10"/>
      <c r="P185" s="10"/>
      <c r="Q185" s="10"/>
      <c r="R185" s="10"/>
      <c r="S185" s="10" t="str">
        <f t="shared" si="1"/>
        <v/>
      </c>
      <c r="T185" s="12" t="str">
        <f t="shared" si="2"/>
        <v/>
      </c>
      <c r="U185" s="10" t="str">
        <f t="shared" si="3"/>
        <v/>
      </c>
      <c r="V185" s="10"/>
      <c r="W185" s="10"/>
      <c r="X185" s="10"/>
      <c r="Y185" s="13" t="str">
        <f t="shared" si="4"/>
        <v/>
      </c>
      <c r="Z185" s="10" t="str">
        <f t="shared" si="5"/>
        <v/>
      </c>
      <c r="AA185" s="10"/>
      <c r="AB185" s="10"/>
      <c r="AC185" s="10"/>
      <c r="AD185" s="10"/>
      <c r="AE185" s="11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1"/>
      <c r="J186" s="11"/>
      <c r="K186" s="10"/>
      <c r="L186" s="10"/>
      <c r="M186" s="10"/>
      <c r="N186" s="10"/>
      <c r="O186" s="10"/>
      <c r="P186" s="10"/>
      <c r="Q186" s="10"/>
      <c r="R186" s="10"/>
      <c r="S186" s="10" t="str">
        <f t="shared" si="1"/>
        <v/>
      </c>
      <c r="T186" s="12" t="str">
        <f t="shared" si="2"/>
        <v/>
      </c>
      <c r="U186" s="10" t="str">
        <f t="shared" si="3"/>
        <v/>
      </c>
      <c r="V186" s="10"/>
      <c r="W186" s="10"/>
      <c r="X186" s="10"/>
      <c r="Y186" s="13" t="str">
        <f t="shared" si="4"/>
        <v/>
      </c>
      <c r="Z186" s="10" t="str">
        <f t="shared" si="5"/>
        <v/>
      </c>
      <c r="AA186" s="10"/>
      <c r="AB186" s="10"/>
      <c r="AC186" s="10"/>
      <c r="AD186" s="10"/>
      <c r="AE186" s="11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1"/>
      <c r="J187" s="11"/>
      <c r="K187" s="10"/>
      <c r="L187" s="10"/>
      <c r="M187" s="10"/>
      <c r="N187" s="10"/>
      <c r="O187" s="10"/>
      <c r="P187" s="10"/>
      <c r="Q187" s="10"/>
      <c r="R187" s="10"/>
      <c r="S187" s="10" t="str">
        <f t="shared" si="1"/>
        <v/>
      </c>
      <c r="T187" s="12" t="str">
        <f t="shared" si="2"/>
        <v/>
      </c>
      <c r="U187" s="10" t="str">
        <f t="shared" si="3"/>
        <v/>
      </c>
      <c r="V187" s="10"/>
      <c r="W187" s="10"/>
      <c r="X187" s="10"/>
      <c r="Y187" s="13" t="str">
        <f t="shared" si="4"/>
        <v/>
      </c>
      <c r="Z187" s="10" t="str">
        <f t="shared" si="5"/>
        <v/>
      </c>
      <c r="AA187" s="10"/>
      <c r="AB187" s="10"/>
      <c r="AC187" s="10"/>
      <c r="AD187" s="10"/>
      <c r="AE187" s="11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1"/>
      <c r="J188" s="11"/>
      <c r="K188" s="10"/>
      <c r="L188" s="10"/>
      <c r="M188" s="10"/>
      <c r="N188" s="10"/>
      <c r="O188" s="10"/>
      <c r="P188" s="10"/>
      <c r="Q188" s="10"/>
      <c r="R188" s="10"/>
      <c r="S188" s="10" t="str">
        <f t="shared" si="1"/>
        <v/>
      </c>
      <c r="T188" s="12" t="str">
        <f t="shared" si="2"/>
        <v/>
      </c>
      <c r="U188" s="10" t="str">
        <f t="shared" si="3"/>
        <v/>
      </c>
      <c r="V188" s="10"/>
      <c r="W188" s="10"/>
      <c r="X188" s="10"/>
      <c r="Y188" s="13" t="str">
        <f t="shared" si="4"/>
        <v/>
      </c>
      <c r="Z188" s="10" t="str">
        <f t="shared" si="5"/>
        <v/>
      </c>
      <c r="AA188" s="10"/>
      <c r="AB188" s="10"/>
      <c r="AC188" s="10"/>
      <c r="AD188" s="10"/>
      <c r="AE188" s="11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1"/>
      <c r="J189" s="11"/>
      <c r="K189" s="10"/>
      <c r="L189" s="10"/>
      <c r="M189" s="10"/>
      <c r="N189" s="10"/>
      <c r="O189" s="10"/>
      <c r="P189" s="10"/>
      <c r="Q189" s="10"/>
      <c r="R189" s="10"/>
      <c r="S189" s="10" t="str">
        <f t="shared" si="1"/>
        <v/>
      </c>
      <c r="T189" s="12" t="str">
        <f t="shared" si="2"/>
        <v/>
      </c>
      <c r="U189" s="10" t="str">
        <f t="shared" si="3"/>
        <v/>
      </c>
      <c r="V189" s="10"/>
      <c r="W189" s="10"/>
      <c r="X189" s="10"/>
      <c r="Y189" s="13" t="str">
        <f t="shared" si="4"/>
        <v/>
      </c>
      <c r="Z189" s="10" t="str">
        <f t="shared" si="5"/>
        <v/>
      </c>
      <c r="AA189" s="10"/>
      <c r="AB189" s="10"/>
      <c r="AC189" s="10"/>
      <c r="AD189" s="10"/>
      <c r="AE189" s="11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1"/>
      <c r="J190" s="11"/>
      <c r="K190" s="10"/>
      <c r="L190" s="10"/>
      <c r="M190" s="10"/>
      <c r="N190" s="10"/>
      <c r="O190" s="10"/>
      <c r="P190" s="10"/>
      <c r="Q190" s="10"/>
      <c r="R190" s="10"/>
      <c r="S190" s="10" t="str">
        <f t="shared" si="1"/>
        <v/>
      </c>
      <c r="T190" s="12" t="str">
        <f t="shared" si="2"/>
        <v/>
      </c>
      <c r="U190" s="10" t="str">
        <f t="shared" si="3"/>
        <v/>
      </c>
      <c r="V190" s="10"/>
      <c r="W190" s="10"/>
      <c r="X190" s="10"/>
      <c r="Y190" s="13" t="str">
        <f t="shared" si="4"/>
        <v/>
      </c>
      <c r="Z190" s="10" t="str">
        <f t="shared" si="5"/>
        <v/>
      </c>
      <c r="AA190" s="10"/>
      <c r="AB190" s="10"/>
      <c r="AC190" s="10"/>
      <c r="AD190" s="10"/>
      <c r="AE190" s="11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1"/>
      <c r="J191" s="11"/>
      <c r="K191" s="10"/>
      <c r="L191" s="10"/>
      <c r="M191" s="10"/>
      <c r="N191" s="10"/>
      <c r="O191" s="10"/>
      <c r="P191" s="10"/>
      <c r="Q191" s="10"/>
      <c r="R191" s="10"/>
      <c r="S191" s="10" t="str">
        <f t="shared" si="1"/>
        <v/>
      </c>
      <c r="T191" s="12" t="str">
        <f t="shared" si="2"/>
        <v/>
      </c>
      <c r="U191" s="10" t="str">
        <f t="shared" si="3"/>
        <v/>
      </c>
      <c r="V191" s="10"/>
      <c r="W191" s="10"/>
      <c r="X191" s="10"/>
      <c r="Y191" s="13" t="str">
        <f t="shared" si="4"/>
        <v/>
      </c>
      <c r="Z191" s="10" t="str">
        <f t="shared" si="5"/>
        <v/>
      </c>
      <c r="AA191" s="10"/>
      <c r="AB191" s="10"/>
      <c r="AC191" s="10"/>
      <c r="AD191" s="10"/>
      <c r="AE191" s="11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1"/>
      <c r="J192" s="11"/>
      <c r="K192" s="10"/>
      <c r="L192" s="10"/>
      <c r="M192" s="10"/>
      <c r="N192" s="10"/>
      <c r="O192" s="10"/>
      <c r="P192" s="10"/>
      <c r="Q192" s="10"/>
      <c r="R192" s="10"/>
      <c r="S192" s="10" t="str">
        <f t="shared" si="1"/>
        <v/>
      </c>
      <c r="T192" s="12" t="str">
        <f t="shared" si="2"/>
        <v/>
      </c>
      <c r="U192" s="10" t="str">
        <f t="shared" si="3"/>
        <v/>
      </c>
      <c r="V192" s="10"/>
      <c r="W192" s="10"/>
      <c r="X192" s="10"/>
      <c r="Y192" s="13" t="str">
        <f t="shared" si="4"/>
        <v/>
      </c>
      <c r="Z192" s="10" t="str">
        <f t="shared" si="5"/>
        <v/>
      </c>
      <c r="AA192" s="10"/>
      <c r="AB192" s="10"/>
      <c r="AC192" s="10"/>
      <c r="AD192" s="10"/>
      <c r="AE192" s="11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1"/>
      <c r="J193" s="11"/>
      <c r="K193" s="10"/>
      <c r="L193" s="10"/>
      <c r="M193" s="10"/>
      <c r="N193" s="10"/>
      <c r="O193" s="10"/>
      <c r="P193" s="10"/>
      <c r="Q193" s="10"/>
      <c r="R193" s="10"/>
      <c r="S193" s="10" t="str">
        <f t="shared" si="1"/>
        <v/>
      </c>
      <c r="T193" s="12" t="str">
        <f t="shared" si="2"/>
        <v/>
      </c>
      <c r="U193" s="10" t="str">
        <f t="shared" si="3"/>
        <v/>
      </c>
      <c r="V193" s="10"/>
      <c r="W193" s="10"/>
      <c r="X193" s="10"/>
      <c r="Y193" s="13" t="str">
        <f t="shared" si="4"/>
        <v/>
      </c>
      <c r="Z193" s="10" t="str">
        <f t="shared" si="5"/>
        <v/>
      </c>
      <c r="AA193" s="10"/>
      <c r="AB193" s="10"/>
      <c r="AC193" s="10"/>
      <c r="AD193" s="10"/>
      <c r="AE193" s="11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1"/>
      <c r="J194" s="11"/>
      <c r="K194" s="10"/>
      <c r="L194" s="10"/>
      <c r="M194" s="10"/>
      <c r="N194" s="10"/>
      <c r="O194" s="10"/>
      <c r="P194" s="10"/>
      <c r="Q194" s="10"/>
      <c r="R194" s="10"/>
      <c r="S194" s="10" t="str">
        <f t="shared" si="1"/>
        <v/>
      </c>
      <c r="T194" s="12" t="str">
        <f t="shared" si="2"/>
        <v/>
      </c>
      <c r="U194" s="10" t="str">
        <f t="shared" si="3"/>
        <v/>
      </c>
      <c r="V194" s="10"/>
      <c r="W194" s="10"/>
      <c r="X194" s="10"/>
      <c r="Y194" s="13" t="str">
        <f t="shared" si="4"/>
        <v/>
      </c>
      <c r="Z194" s="10" t="str">
        <f t="shared" si="5"/>
        <v/>
      </c>
      <c r="AA194" s="10"/>
      <c r="AB194" s="10"/>
      <c r="AC194" s="10"/>
      <c r="AD194" s="10"/>
      <c r="AE194" s="11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1"/>
      <c r="J195" s="11"/>
      <c r="K195" s="10"/>
      <c r="L195" s="10"/>
      <c r="M195" s="10"/>
      <c r="N195" s="10"/>
      <c r="O195" s="10"/>
      <c r="P195" s="10"/>
      <c r="Q195" s="10"/>
      <c r="R195" s="10"/>
      <c r="S195" s="10" t="str">
        <f t="shared" si="1"/>
        <v/>
      </c>
      <c r="T195" s="12" t="str">
        <f t="shared" si="2"/>
        <v/>
      </c>
      <c r="U195" s="10" t="str">
        <f t="shared" si="3"/>
        <v/>
      </c>
      <c r="V195" s="10"/>
      <c r="W195" s="10"/>
      <c r="X195" s="10"/>
      <c r="Y195" s="13" t="str">
        <f t="shared" si="4"/>
        <v/>
      </c>
      <c r="Z195" s="10" t="str">
        <f t="shared" si="5"/>
        <v/>
      </c>
      <c r="AA195" s="10"/>
      <c r="AB195" s="10"/>
      <c r="AC195" s="10"/>
      <c r="AD195" s="10"/>
      <c r="AE195" s="11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1"/>
      <c r="J196" s="11"/>
      <c r="K196" s="10"/>
      <c r="L196" s="10"/>
      <c r="M196" s="10"/>
      <c r="N196" s="10"/>
      <c r="O196" s="10"/>
      <c r="P196" s="10"/>
      <c r="Q196" s="10"/>
      <c r="R196" s="10"/>
      <c r="S196" s="10" t="str">
        <f t="shared" si="1"/>
        <v/>
      </c>
      <c r="T196" s="12" t="str">
        <f t="shared" si="2"/>
        <v/>
      </c>
      <c r="U196" s="10" t="str">
        <f t="shared" si="3"/>
        <v/>
      </c>
      <c r="V196" s="10"/>
      <c r="W196" s="10"/>
      <c r="X196" s="10"/>
      <c r="Y196" s="13" t="str">
        <f t="shared" si="4"/>
        <v/>
      </c>
      <c r="Z196" s="10" t="str">
        <f t="shared" si="5"/>
        <v/>
      </c>
      <c r="AA196" s="10"/>
      <c r="AB196" s="10"/>
      <c r="AC196" s="10"/>
      <c r="AD196" s="10"/>
      <c r="AE196" s="11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1"/>
      <c r="J197" s="11"/>
      <c r="K197" s="10"/>
      <c r="L197" s="10"/>
      <c r="M197" s="10"/>
      <c r="N197" s="10"/>
      <c r="O197" s="10"/>
      <c r="P197" s="10"/>
      <c r="Q197" s="10"/>
      <c r="R197" s="10"/>
      <c r="S197" s="10" t="str">
        <f t="shared" si="1"/>
        <v/>
      </c>
      <c r="T197" s="12" t="str">
        <f t="shared" si="2"/>
        <v/>
      </c>
      <c r="U197" s="10" t="str">
        <f t="shared" si="3"/>
        <v/>
      </c>
      <c r="V197" s="10"/>
      <c r="W197" s="10"/>
      <c r="X197" s="10"/>
      <c r="Y197" s="13" t="str">
        <f t="shared" si="4"/>
        <v/>
      </c>
      <c r="Z197" s="10" t="str">
        <f t="shared" si="5"/>
        <v/>
      </c>
      <c r="AA197" s="10"/>
      <c r="AB197" s="10"/>
      <c r="AC197" s="10"/>
      <c r="AD197" s="10"/>
      <c r="AE197" s="11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1"/>
      <c r="J198" s="11"/>
      <c r="K198" s="10"/>
      <c r="L198" s="10"/>
      <c r="M198" s="10"/>
      <c r="N198" s="10"/>
      <c r="O198" s="10"/>
      <c r="P198" s="10"/>
      <c r="Q198" s="10"/>
      <c r="R198" s="10"/>
      <c r="S198" s="10" t="str">
        <f t="shared" si="1"/>
        <v/>
      </c>
      <c r="T198" s="12" t="str">
        <f t="shared" si="2"/>
        <v/>
      </c>
      <c r="U198" s="10" t="str">
        <f t="shared" si="3"/>
        <v/>
      </c>
      <c r="V198" s="10"/>
      <c r="W198" s="10"/>
      <c r="X198" s="10"/>
      <c r="Y198" s="13" t="str">
        <f t="shared" si="4"/>
        <v/>
      </c>
      <c r="Z198" s="10" t="str">
        <f t="shared" si="5"/>
        <v/>
      </c>
      <c r="AA198" s="10"/>
      <c r="AB198" s="10"/>
      <c r="AC198" s="10"/>
      <c r="AD198" s="10"/>
      <c r="AE198" s="11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1"/>
      <c r="J199" s="11"/>
      <c r="K199" s="10"/>
      <c r="L199" s="10"/>
      <c r="M199" s="10"/>
      <c r="N199" s="10"/>
      <c r="O199" s="10"/>
      <c r="P199" s="10"/>
      <c r="Q199" s="10"/>
      <c r="R199" s="10"/>
      <c r="S199" s="10" t="str">
        <f t="shared" si="1"/>
        <v/>
      </c>
      <c r="T199" s="12" t="str">
        <f t="shared" si="2"/>
        <v/>
      </c>
      <c r="U199" s="10" t="str">
        <f t="shared" si="3"/>
        <v/>
      </c>
      <c r="V199" s="10"/>
      <c r="W199" s="10"/>
      <c r="X199" s="10"/>
      <c r="Y199" s="13" t="str">
        <f t="shared" si="4"/>
        <v/>
      </c>
      <c r="Z199" s="10" t="str">
        <f t="shared" si="5"/>
        <v/>
      </c>
      <c r="AA199" s="10"/>
      <c r="AB199" s="10"/>
      <c r="AC199" s="10"/>
      <c r="AD199" s="10"/>
      <c r="AE199" s="11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1"/>
      <c r="J200" s="11"/>
      <c r="K200" s="10"/>
      <c r="L200" s="10"/>
      <c r="M200" s="10"/>
      <c r="N200" s="10"/>
      <c r="O200" s="10"/>
      <c r="P200" s="10"/>
      <c r="Q200" s="10"/>
      <c r="R200" s="10"/>
      <c r="S200" s="10" t="str">
        <f t="shared" si="1"/>
        <v/>
      </c>
      <c r="T200" s="12" t="str">
        <f t="shared" si="2"/>
        <v/>
      </c>
      <c r="U200" s="10" t="str">
        <f t="shared" si="3"/>
        <v/>
      </c>
      <c r="V200" s="10"/>
      <c r="W200" s="10"/>
      <c r="X200" s="10"/>
      <c r="Y200" s="13" t="str">
        <f t="shared" si="4"/>
        <v/>
      </c>
      <c r="Z200" s="10" t="str">
        <f t="shared" si="5"/>
        <v/>
      </c>
      <c r="AA200" s="10"/>
      <c r="AB200" s="10"/>
      <c r="AC200" s="10"/>
      <c r="AD200" s="10"/>
      <c r="AE200" s="11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1"/>
      <c r="J201" s="11"/>
      <c r="K201" s="10"/>
      <c r="L201" s="10"/>
      <c r="M201" s="10"/>
      <c r="N201" s="10"/>
      <c r="O201" s="10"/>
      <c r="P201" s="10"/>
      <c r="Q201" s="10"/>
      <c r="R201" s="10"/>
      <c r="S201" s="10" t="str">
        <f t="shared" si="1"/>
        <v/>
      </c>
      <c r="T201" s="12" t="str">
        <f t="shared" si="2"/>
        <v/>
      </c>
      <c r="U201" s="10" t="str">
        <f t="shared" si="3"/>
        <v/>
      </c>
      <c r="V201" s="10"/>
      <c r="W201" s="10"/>
      <c r="X201" s="10"/>
      <c r="Y201" s="13" t="str">
        <f t="shared" si="4"/>
        <v/>
      </c>
      <c r="Z201" s="10" t="str">
        <f t="shared" si="5"/>
        <v/>
      </c>
      <c r="AA201" s="10"/>
      <c r="AB201" s="10"/>
      <c r="AC201" s="10"/>
      <c r="AD201" s="10"/>
      <c r="AE201" s="11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1"/>
      <c r="J202" s="11"/>
      <c r="K202" s="10"/>
      <c r="L202" s="10"/>
      <c r="M202" s="10"/>
      <c r="N202" s="10"/>
      <c r="O202" s="10"/>
      <c r="P202" s="10"/>
      <c r="Q202" s="10"/>
      <c r="R202" s="10"/>
      <c r="S202" s="10" t="str">
        <f t="shared" si="1"/>
        <v/>
      </c>
      <c r="T202" s="12" t="str">
        <f t="shared" si="2"/>
        <v/>
      </c>
      <c r="U202" s="10" t="str">
        <f t="shared" si="3"/>
        <v/>
      </c>
      <c r="V202" s="10"/>
      <c r="W202" s="10"/>
      <c r="X202" s="10"/>
      <c r="Y202" s="13" t="str">
        <f t="shared" si="4"/>
        <v/>
      </c>
      <c r="Z202" s="10" t="str">
        <f t="shared" si="5"/>
        <v/>
      </c>
      <c r="AA202" s="10"/>
      <c r="AB202" s="10"/>
      <c r="AC202" s="10"/>
      <c r="AD202" s="10"/>
      <c r="AE202" s="11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1"/>
      <c r="J203" s="11"/>
      <c r="K203" s="10"/>
      <c r="L203" s="10"/>
      <c r="M203" s="10"/>
      <c r="N203" s="10"/>
      <c r="O203" s="10"/>
      <c r="P203" s="10"/>
      <c r="Q203" s="10"/>
      <c r="R203" s="10"/>
      <c r="S203" s="10" t="str">
        <f t="shared" si="1"/>
        <v/>
      </c>
      <c r="T203" s="12" t="str">
        <f t="shared" si="2"/>
        <v/>
      </c>
      <c r="U203" s="10" t="str">
        <f t="shared" si="3"/>
        <v/>
      </c>
      <c r="V203" s="10"/>
      <c r="W203" s="10"/>
      <c r="X203" s="10"/>
      <c r="Y203" s="13" t="str">
        <f t="shared" si="4"/>
        <v/>
      </c>
      <c r="Z203" s="10" t="str">
        <f t="shared" si="5"/>
        <v/>
      </c>
      <c r="AA203" s="10"/>
      <c r="AB203" s="10"/>
      <c r="AC203" s="10"/>
      <c r="AD203" s="10"/>
      <c r="AE203" s="11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1"/>
      <c r="J204" s="11"/>
      <c r="K204" s="10"/>
      <c r="L204" s="10"/>
      <c r="M204" s="10"/>
      <c r="N204" s="10"/>
      <c r="O204" s="10"/>
      <c r="P204" s="10"/>
      <c r="Q204" s="10"/>
      <c r="R204" s="10"/>
      <c r="S204" s="10" t="str">
        <f t="shared" si="1"/>
        <v/>
      </c>
      <c r="T204" s="12" t="str">
        <f t="shared" si="2"/>
        <v/>
      </c>
      <c r="U204" s="10" t="str">
        <f t="shared" si="3"/>
        <v/>
      </c>
      <c r="V204" s="10"/>
      <c r="W204" s="10"/>
      <c r="X204" s="10"/>
      <c r="Y204" s="13" t="str">
        <f t="shared" si="4"/>
        <v/>
      </c>
      <c r="Z204" s="10" t="str">
        <f t="shared" si="5"/>
        <v/>
      </c>
      <c r="AA204" s="10"/>
      <c r="AB204" s="10"/>
      <c r="AC204" s="10"/>
      <c r="AD204" s="10"/>
      <c r="AE204" s="11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1"/>
      <c r="J205" s="11"/>
      <c r="K205" s="10"/>
      <c r="L205" s="10"/>
      <c r="M205" s="10"/>
      <c r="N205" s="10"/>
      <c r="O205" s="10"/>
      <c r="P205" s="10"/>
      <c r="Q205" s="10"/>
      <c r="R205" s="10"/>
      <c r="S205" s="10" t="str">
        <f t="shared" si="1"/>
        <v/>
      </c>
      <c r="T205" s="12" t="str">
        <f t="shared" si="2"/>
        <v/>
      </c>
      <c r="U205" s="10" t="str">
        <f t="shared" si="3"/>
        <v/>
      </c>
      <c r="V205" s="10"/>
      <c r="W205" s="10"/>
      <c r="X205" s="10"/>
      <c r="Y205" s="13" t="str">
        <f t="shared" si="4"/>
        <v/>
      </c>
      <c r="Z205" s="10" t="str">
        <f t="shared" si="5"/>
        <v/>
      </c>
      <c r="AA205" s="10"/>
      <c r="AB205" s="10"/>
      <c r="AC205" s="10"/>
      <c r="AD205" s="10"/>
      <c r="AE205" s="11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1"/>
      <c r="J206" s="11"/>
      <c r="K206" s="10"/>
      <c r="L206" s="10"/>
      <c r="M206" s="10"/>
      <c r="N206" s="10"/>
      <c r="O206" s="10"/>
      <c r="P206" s="10"/>
      <c r="Q206" s="10"/>
      <c r="R206" s="10"/>
      <c r="S206" s="10" t="str">
        <f t="shared" si="1"/>
        <v/>
      </c>
      <c r="T206" s="12" t="str">
        <f t="shared" si="2"/>
        <v/>
      </c>
      <c r="U206" s="10" t="str">
        <f t="shared" si="3"/>
        <v/>
      </c>
      <c r="V206" s="10"/>
      <c r="W206" s="10"/>
      <c r="X206" s="10"/>
      <c r="Y206" s="13" t="str">
        <f t="shared" si="4"/>
        <v/>
      </c>
      <c r="Z206" s="10" t="str">
        <f t="shared" si="5"/>
        <v/>
      </c>
      <c r="AA206" s="10"/>
      <c r="AB206" s="10"/>
      <c r="AC206" s="10"/>
      <c r="AD206" s="10"/>
      <c r="AE206" s="11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1"/>
      <c r="J207" s="11"/>
      <c r="K207" s="10"/>
      <c r="L207" s="10"/>
      <c r="M207" s="10"/>
      <c r="N207" s="10"/>
      <c r="O207" s="10"/>
      <c r="P207" s="10"/>
      <c r="Q207" s="10"/>
      <c r="R207" s="10"/>
      <c r="S207" s="10" t="str">
        <f t="shared" si="1"/>
        <v/>
      </c>
      <c r="T207" s="12" t="str">
        <f t="shared" si="2"/>
        <v/>
      </c>
      <c r="U207" s="10" t="str">
        <f t="shared" si="3"/>
        <v/>
      </c>
      <c r="V207" s="10"/>
      <c r="W207" s="10"/>
      <c r="X207" s="10"/>
      <c r="Y207" s="13" t="str">
        <f t="shared" si="4"/>
        <v/>
      </c>
      <c r="Z207" s="10" t="str">
        <f t="shared" si="5"/>
        <v/>
      </c>
      <c r="AA207" s="10"/>
      <c r="AB207" s="10"/>
      <c r="AC207" s="10"/>
      <c r="AD207" s="10"/>
      <c r="AE207" s="11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1"/>
      <c r="J208" s="11"/>
      <c r="K208" s="10"/>
      <c r="L208" s="10"/>
      <c r="M208" s="10"/>
      <c r="N208" s="10"/>
      <c r="O208" s="10"/>
      <c r="P208" s="10"/>
      <c r="Q208" s="10"/>
      <c r="R208" s="10"/>
      <c r="S208" s="10" t="str">
        <f t="shared" si="1"/>
        <v/>
      </c>
      <c r="T208" s="12" t="str">
        <f t="shared" si="2"/>
        <v/>
      </c>
      <c r="U208" s="10" t="str">
        <f t="shared" si="3"/>
        <v/>
      </c>
      <c r="V208" s="10"/>
      <c r="W208" s="10"/>
      <c r="X208" s="10"/>
      <c r="Y208" s="13" t="str">
        <f t="shared" si="4"/>
        <v/>
      </c>
      <c r="Z208" s="10" t="str">
        <f t="shared" si="5"/>
        <v/>
      </c>
      <c r="AA208" s="10"/>
      <c r="AB208" s="10"/>
      <c r="AC208" s="10"/>
      <c r="AD208" s="10"/>
      <c r="AE208" s="11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1"/>
      <c r="J209" s="11"/>
      <c r="K209" s="10"/>
      <c r="L209" s="10"/>
      <c r="M209" s="10"/>
      <c r="N209" s="10"/>
      <c r="O209" s="10"/>
      <c r="P209" s="10"/>
      <c r="Q209" s="10"/>
      <c r="R209" s="10"/>
      <c r="S209" s="10" t="str">
        <f t="shared" si="1"/>
        <v/>
      </c>
      <c r="T209" s="12" t="str">
        <f t="shared" si="2"/>
        <v/>
      </c>
      <c r="U209" s="10" t="str">
        <f t="shared" si="3"/>
        <v/>
      </c>
      <c r="V209" s="10"/>
      <c r="W209" s="10"/>
      <c r="X209" s="10"/>
      <c r="Y209" s="13" t="str">
        <f t="shared" si="4"/>
        <v/>
      </c>
      <c r="Z209" s="10" t="str">
        <f t="shared" si="5"/>
        <v/>
      </c>
      <c r="AA209" s="10"/>
      <c r="AB209" s="10"/>
      <c r="AC209" s="10"/>
      <c r="AD209" s="10"/>
      <c r="AE209" s="11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1"/>
      <c r="J210" s="11"/>
      <c r="K210" s="10"/>
      <c r="L210" s="10"/>
      <c r="M210" s="10"/>
      <c r="N210" s="10"/>
      <c r="O210" s="10"/>
      <c r="P210" s="10"/>
      <c r="Q210" s="10"/>
      <c r="R210" s="10"/>
      <c r="S210" s="10" t="str">
        <f t="shared" si="1"/>
        <v/>
      </c>
      <c r="T210" s="12" t="str">
        <f t="shared" si="2"/>
        <v/>
      </c>
      <c r="U210" s="10" t="str">
        <f t="shared" si="3"/>
        <v/>
      </c>
      <c r="V210" s="10"/>
      <c r="W210" s="10"/>
      <c r="X210" s="10"/>
      <c r="Y210" s="13" t="str">
        <f t="shared" si="4"/>
        <v/>
      </c>
      <c r="Z210" s="10" t="str">
        <f t="shared" si="5"/>
        <v/>
      </c>
      <c r="AA210" s="10"/>
      <c r="AB210" s="10"/>
      <c r="AC210" s="10"/>
      <c r="AD210" s="10"/>
      <c r="AE210" s="11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1"/>
      <c r="J211" s="11"/>
      <c r="K211" s="10"/>
      <c r="L211" s="10"/>
      <c r="M211" s="10"/>
      <c r="N211" s="10"/>
      <c r="O211" s="10"/>
      <c r="P211" s="10"/>
      <c r="Q211" s="10"/>
      <c r="R211" s="10"/>
      <c r="S211" s="10" t="str">
        <f t="shared" si="1"/>
        <v/>
      </c>
      <c r="T211" s="12" t="str">
        <f t="shared" si="2"/>
        <v/>
      </c>
      <c r="U211" s="10" t="str">
        <f t="shared" si="3"/>
        <v/>
      </c>
      <c r="V211" s="10"/>
      <c r="W211" s="10"/>
      <c r="X211" s="10"/>
      <c r="Y211" s="13" t="str">
        <f t="shared" si="4"/>
        <v/>
      </c>
      <c r="Z211" s="10" t="str">
        <f t="shared" si="5"/>
        <v/>
      </c>
      <c r="AA211" s="10"/>
      <c r="AB211" s="10"/>
      <c r="AC211" s="10"/>
      <c r="AD211" s="10"/>
      <c r="AE211" s="11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1"/>
      <c r="J212" s="11"/>
      <c r="K212" s="10"/>
      <c r="L212" s="10"/>
      <c r="M212" s="10"/>
      <c r="N212" s="10"/>
      <c r="O212" s="10"/>
      <c r="P212" s="10"/>
      <c r="Q212" s="10"/>
      <c r="R212" s="10"/>
      <c r="S212" s="10" t="str">
        <f t="shared" si="1"/>
        <v/>
      </c>
      <c r="T212" s="12" t="str">
        <f t="shared" si="2"/>
        <v/>
      </c>
      <c r="U212" s="10" t="str">
        <f t="shared" si="3"/>
        <v/>
      </c>
      <c r="V212" s="10"/>
      <c r="W212" s="10"/>
      <c r="X212" s="10"/>
      <c r="Y212" s="13" t="str">
        <f t="shared" si="4"/>
        <v/>
      </c>
      <c r="Z212" s="10" t="str">
        <f t="shared" si="5"/>
        <v/>
      </c>
      <c r="AA212" s="10"/>
      <c r="AB212" s="10"/>
      <c r="AC212" s="10"/>
      <c r="AD212" s="10"/>
      <c r="AE212" s="11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1"/>
      <c r="J213" s="11"/>
      <c r="K213" s="10"/>
      <c r="L213" s="10"/>
      <c r="M213" s="10"/>
      <c r="N213" s="10"/>
      <c r="O213" s="10"/>
      <c r="P213" s="10"/>
      <c r="Q213" s="10"/>
      <c r="R213" s="10"/>
      <c r="S213" s="10" t="str">
        <f t="shared" si="1"/>
        <v/>
      </c>
      <c r="T213" s="12" t="str">
        <f t="shared" si="2"/>
        <v/>
      </c>
      <c r="U213" s="10" t="str">
        <f t="shared" si="3"/>
        <v/>
      </c>
      <c r="V213" s="10"/>
      <c r="W213" s="10"/>
      <c r="X213" s="10"/>
      <c r="Y213" s="13" t="str">
        <f t="shared" si="4"/>
        <v/>
      </c>
      <c r="Z213" s="10" t="str">
        <f t="shared" si="5"/>
        <v/>
      </c>
      <c r="AA213" s="10"/>
      <c r="AB213" s="10"/>
      <c r="AC213" s="10"/>
      <c r="AD213" s="10"/>
      <c r="AE213" s="11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1"/>
      <c r="J214" s="11"/>
      <c r="K214" s="10"/>
      <c r="L214" s="10"/>
      <c r="M214" s="10"/>
      <c r="N214" s="10"/>
      <c r="O214" s="10"/>
      <c r="P214" s="10"/>
      <c r="Q214" s="10"/>
      <c r="R214" s="10"/>
      <c r="S214" s="10" t="str">
        <f t="shared" si="1"/>
        <v/>
      </c>
      <c r="T214" s="12" t="str">
        <f t="shared" si="2"/>
        <v/>
      </c>
      <c r="U214" s="10" t="str">
        <f t="shared" si="3"/>
        <v/>
      </c>
      <c r="V214" s="10"/>
      <c r="W214" s="10"/>
      <c r="X214" s="10"/>
      <c r="Y214" s="13" t="str">
        <f t="shared" si="4"/>
        <v/>
      </c>
      <c r="Z214" s="10" t="str">
        <f t="shared" si="5"/>
        <v/>
      </c>
      <c r="AA214" s="10"/>
      <c r="AB214" s="10"/>
      <c r="AC214" s="10"/>
      <c r="AD214" s="10"/>
      <c r="AE214" s="11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1"/>
      <c r="J215" s="11"/>
      <c r="K215" s="10"/>
      <c r="L215" s="10"/>
      <c r="M215" s="10"/>
      <c r="N215" s="10"/>
      <c r="O215" s="10"/>
      <c r="P215" s="10"/>
      <c r="Q215" s="10"/>
      <c r="R215" s="10"/>
      <c r="S215" s="10" t="str">
        <f t="shared" si="1"/>
        <v/>
      </c>
      <c r="T215" s="12" t="str">
        <f t="shared" si="2"/>
        <v/>
      </c>
      <c r="U215" s="10" t="str">
        <f t="shared" si="3"/>
        <v/>
      </c>
      <c r="V215" s="10"/>
      <c r="W215" s="10"/>
      <c r="X215" s="10"/>
      <c r="Y215" s="13" t="str">
        <f t="shared" si="4"/>
        <v/>
      </c>
      <c r="Z215" s="10" t="str">
        <f t="shared" si="5"/>
        <v/>
      </c>
      <c r="AA215" s="10"/>
      <c r="AB215" s="10"/>
      <c r="AC215" s="10"/>
      <c r="AD215" s="10"/>
      <c r="AE215" s="11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1"/>
      <c r="J216" s="11"/>
      <c r="K216" s="10"/>
      <c r="L216" s="10"/>
      <c r="M216" s="10"/>
      <c r="N216" s="10"/>
      <c r="O216" s="10"/>
      <c r="P216" s="10"/>
      <c r="Q216" s="10"/>
      <c r="R216" s="10"/>
      <c r="S216" s="10" t="str">
        <f t="shared" si="1"/>
        <v/>
      </c>
      <c r="T216" s="12" t="str">
        <f t="shared" si="2"/>
        <v/>
      </c>
      <c r="U216" s="10" t="str">
        <f t="shared" si="3"/>
        <v/>
      </c>
      <c r="V216" s="10"/>
      <c r="W216" s="10"/>
      <c r="X216" s="10"/>
      <c r="Y216" s="13" t="str">
        <f t="shared" si="4"/>
        <v/>
      </c>
      <c r="Z216" s="10" t="str">
        <f t="shared" si="5"/>
        <v/>
      </c>
      <c r="AA216" s="10"/>
      <c r="AB216" s="10"/>
      <c r="AC216" s="10"/>
      <c r="AD216" s="10"/>
      <c r="AE216" s="11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1"/>
      <c r="J217" s="11"/>
      <c r="K217" s="10"/>
      <c r="L217" s="10"/>
      <c r="M217" s="10"/>
      <c r="N217" s="10"/>
      <c r="O217" s="10"/>
      <c r="P217" s="10"/>
      <c r="Q217" s="10"/>
      <c r="R217" s="10"/>
      <c r="S217" s="10" t="str">
        <f t="shared" si="1"/>
        <v/>
      </c>
      <c r="T217" s="12" t="str">
        <f t="shared" si="2"/>
        <v/>
      </c>
      <c r="U217" s="10" t="str">
        <f t="shared" si="3"/>
        <v/>
      </c>
      <c r="V217" s="10"/>
      <c r="W217" s="10"/>
      <c r="X217" s="10"/>
      <c r="Y217" s="13" t="str">
        <f t="shared" si="4"/>
        <v/>
      </c>
      <c r="Z217" s="10" t="str">
        <f t="shared" si="5"/>
        <v/>
      </c>
      <c r="AA217" s="10"/>
      <c r="AB217" s="10"/>
      <c r="AC217" s="10"/>
      <c r="AD217" s="10"/>
      <c r="AE217" s="11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1"/>
      <c r="J218" s="11"/>
      <c r="K218" s="10"/>
      <c r="L218" s="10"/>
      <c r="M218" s="10"/>
      <c r="N218" s="10"/>
      <c r="O218" s="10"/>
      <c r="P218" s="10"/>
      <c r="Q218" s="10"/>
      <c r="R218" s="10"/>
      <c r="S218" s="10" t="str">
        <f t="shared" si="1"/>
        <v/>
      </c>
      <c r="T218" s="12" t="str">
        <f t="shared" si="2"/>
        <v/>
      </c>
      <c r="U218" s="10" t="str">
        <f t="shared" si="3"/>
        <v/>
      </c>
      <c r="V218" s="10"/>
      <c r="W218" s="10"/>
      <c r="X218" s="10"/>
      <c r="Y218" s="13" t="str">
        <f t="shared" si="4"/>
        <v/>
      </c>
      <c r="Z218" s="10" t="str">
        <f t="shared" si="5"/>
        <v/>
      </c>
      <c r="AA218" s="10"/>
      <c r="AB218" s="10"/>
      <c r="AC218" s="10"/>
      <c r="AD218" s="10"/>
      <c r="AE218" s="11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1"/>
      <c r="J219" s="11"/>
      <c r="K219" s="10"/>
      <c r="L219" s="10"/>
      <c r="M219" s="10"/>
      <c r="N219" s="10"/>
      <c r="O219" s="10"/>
      <c r="P219" s="10"/>
      <c r="Q219" s="10"/>
      <c r="R219" s="10"/>
      <c r="S219" s="10" t="str">
        <f t="shared" si="1"/>
        <v/>
      </c>
      <c r="T219" s="12" t="str">
        <f t="shared" si="2"/>
        <v/>
      </c>
      <c r="U219" s="10" t="str">
        <f t="shared" si="3"/>
        <v/>
      </c>
      <c r="V219" s="10"/>
      <c r="W219" s="10"/>
      <c r="X219" s="10"/>
      <c r="Y219" s="13" t="str">
        <f t="shared" si="4"/>
        <v/>
      </c>
      <c r="Z219" s="10" t="str">
        <f t="shared" si="5"/>
        <v/>
      </c>
      <c r="AA219" s="10"/>
      <c r="AB219" s="10"/>
      <c r="AC219" s="10"/>
      <c r="AD219" s="10"/>
      <c r="AE219" s="11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1"/>
      <c r="J220" s="11"/>
      <c r="K220" s="10"/>
      <c r="L220" s="10"/>
      <c r="M220" s="10"/>
      <c r="N220" s="10"/>
      <c r="O220" s="10"/>
      <c r="P220" s="10"/>
      <c r="Q220" s="10"/>
      <c r="R220" s="10"/>
      <c r="S220" s="10" t="str">
        <f t="shared" si="1"/>
        <v/>
      </c>
      <c r="T220" s="12" t="str">
        <f t="shared" si="2"/>
        <v/>
      </c>
      <c r="U220" s="10" t="str">
        <f t="shared" si="3"/>
        <v/>
      </c>
      <c r="V220" s="10"/>
      <c r="W220" s="10"/>
      <c r="X220" s="10"/>
      <c r="Y220" s="13" t="str">
        <f t="shared" si="4"/>
        <v/>
      </c>
      <c r="Z220" s="10" t="str">
        <f t="shared" si="5"/>
        <v/>
      </c>
      <c r="AA220" s="10"/>
      <c r="AB220" s="10"/>
      <c r="AC220" s="10"/>
      <c r="AD220" s="10"/>
      <c r="AE220" s="11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1"/>
      <c r="J221" s="11"/>
      <c r="K221" s="10"/>
      <c r="L221" s="10"/>
      <c r="M221" s="10"/>
      <c r="N221" s="10"/>
      <c r="O221" s="10"/>
      <c r="P221" s="10"/>
      <c r="Q221" s="10"/>
      <c r="R221" s="10"/>
      <c r="S221" s="10" t="str">
        <f t="shared" si="1"/>
        <v/>
      </c>
      <c r="T221" s="12" t="str">
        <f t="shared" si="2"/>
        <v/>
      </c>
      <c r="U221" s="10" t="str">
        <f t="shared" si="3"/>
        <v/>
      </c>
      <c r="V221" s="10"/>
      <c r="W221" s="10"/>
      <c r="X221" s="10"/>
      <c r="Y221" s="13" t="str">
        <f t="shared" si="4"/>
        <v/>
      </c>
      <c r="Z221" s="10" t="str">
        <f t="shared" si="5"/>
        <v/>
      </c>
      <c r="AA221" s="10"/>
      <c r="AB221" s="10"/>
      <c r="AC221" s="10"/>
      <c r="AD221" s="10"/>
      <c r="AE221" s="11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1"/>
      <c r="J222" s="11"/>
      <c r="K222" s="10"/>
      <c r="L222" s="10"/>
      <c r="M222" s="10"/>
      <c r="N222" s="10"/>
      <c r="O222" s="10"/>
      <c r="P222" s="10"/>
      <c r="Q222" s="10"/>
      <c r="R222" s="10"/>
      <c r="S222" s="10" t="str">
        <f t="shared" si="1"/>
        <v/>
      </c>
      <c r="T222" s="12" t="str">
        <f t="shared" si="2"/>
        <v/>
      </c>
      <c r="U222" s="10" t="str">
        <f t="shared" si="3"/>
        <v/>
      </c>
      <c r="V222" s="10"/>
      <c r="W222" s="10"/>
      <c r="X222" s="10"/>
      <c r="Y222" s="13" t="str">
        <f t="shared" si="4"/>
        <v/>
      </c>
      <c r="Z222" s="10" t="str">
        <f t="shared" si="5"/>
        <v/>
      </c>
      <c r="AA222" s="10"/>
      <c r="AB222" s="10"/>
      <c r="AC222" s="10"/>
      <c r="AD222" s="10"/>
      <c r="AE222" s="11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1"/>
      <c r="J223" s="11"/>
      <c r="K223" s="10"/>
      <c r="L223" s="10"/>
      <c r="M223" s="10"/>
      <c r="N223" s="10"/>
      <c r="O223" s="10"/>
      <c r="P223" s="10"/>
      <c r="Q223" s="10"/>
      <c r="R223" s="10"/>
      <c r="S223" s="10" t="str">
        <f t="shared" si="1"/>
        <v/>
      </c>
      <c r="T223" s="12" t="str">
        <f t="shared" si="2"/>
        <v/>
      </c>
      <c r="U223" s="10" t="str">
        <f t="shared" si="3"/>
        <v/>
      </c>
      <c r="V223" s="10"/>
      <c r="W223" s="10"/>
      <c r="X223" s="10"/>
      <c r="Y223" s="13" t="str">
        <f t="shared" si="4"/>
        <v/>
      </c>
      <c r="Z223" s="10" t="str">
        <f t="shared" si="5"/>
        <v/>
      </c>
      <c r="AA223" s="10"/>
      <c r="AB223" s="10"/>
      <c r="AC223" s="10"/>
      <c r="AD223" s="10"/>
      <c r="AE223" s="11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1"/>
      <c r="J224" s="11"/>
      <c r="K224" s="10"/>
      <c r="L224" s="10"/>
      <c r="M224" s="10"/>
      <c r="N224" s="10"/>
      <c r="O224" s="10"/>
      <c r="P224" s="10"/>
      <c r="Q224" s="10"/>
      <c r="R224" s="10"/>
      <c r="S224" s="10" t="str">
        <f t="shared" si="1"/>
        <v/>
      </c>
      <c r="T224" s="12" t="str">
        <f t="shared" si="2"/>
        <v/>
      </c>
      <c r="U224" s="10" t="str">
        <f t="shared" si="3"/>
        <v/>
      </c>
      <c r="V224" s="10"/>
      <c r="W224" s="10"/>
      <c r="X224" s="10"/>
      <c r="Y224" s="13" t="str">
        <f t="shared" si="4"/>
        <v/>
      </c>
      <c r="Z224" s="10" t="str">
        <f t="shared" si="5"/>
        <v/>
      </c>
      <c r="AA224" s="10"/>
      <c r="AB224" s="10"/>
      <c r="AC224" s="10"/>
      <c r="AD224" s="10"/>
      <c r="AE224" s="11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1"/>
      <c r="J225" s="11"/>
      <c r="K225" s="10"/>
      <c r="L225" s="10"/>
      <c r="M225" s="10"/>
      <c r="N225" s="10"/>
      <c r="O225" s="10"/>
      <c r="P225" s="10"/>
      <c r="Q225" s="10"/>
      <c r="R225" s="10"/>
      <c r="S225" s="10" t="str">
        <f t="shared" si="1"/>
        <v/>
      </c>
      <c r="T225" s="12" t="str">
        <f t="shared" si="2"/>
        <v/>
      </c>
      <c r="U225" s="10" t="str">
        <f t="shared" si="3"/>
        <v/>
      </c>
      <c r="V225" s="10"/>
      <c r="W225" s="10"/>
      <c r="X225" s="10"/>
      <c r="Y225" s="13" t="str">
        <f t="shared" si="4"/>
        <v/>
      </c>
      <c r="Z225" s="10" t="str">
        <f t="shared" si="5"/>
        <v/>
      </c>
      <c r="AA225" s="10"/>
      <c r="AB225" s="10"/>
      <c r="AC225" s="10"/>
      <c r="AD225" s="10"/>
      <c r="AE225" s="11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1"/>
      <c r="J226" s="11"/>
      <c r="K226" s="10"/>
      <c r="L226" s="10"/>
      <c r="M226" s="10"/>
      <c r="N226" s="10"/>
      <c r="O226" s="10"/>
      <c r="P226" s="10"/>
      <c r="Q226" s="10"/>
      <c r="R226" s="10"/>
      <c r="S226" s="10" t="str">
        <f t="shared" si="1"/>
        <v/>
      </c>
      <c r="T226" s="12" t="str">
        <f t="shared" si="2"/>
        <v/>
      </c>
      <c r="U226" s="10" t="str">
        <f t="shared" si="3"/>
        <v/>
      </c>
      <c r="V226" s="10"/>
      <c r="W226" s="10"/>
      <c r="X226" s="10"/>
      <c r="Y226" s="13" t="str">
        <f t="shared" si="4"/>
        <v/>
      </c>
      <c r="Z226" s="10" t="str">
        <f t="shared" si="5"/>
        <v/>
      </c>
      <c r="AA226" s="10"/>
      <c r="AB226" s="10"/>
      <c r="AC226" s="10"/>
      <c r="AD226" s="10"/>
      <c r="AE226" s="11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1"/>
      <c r="J227" s="11"/>
      <c r="K227" s="10"/>
      <c r="L227" s="10"/>
      <c r="M227" s="10"/>
      <c r="N227" s="10"/>
      <c r="O227" s="10"/>
      <c r="P227" s="10"/>
      <c r="Q227" s="10"/>
      <c r="R227" s="10"/>
      <c r="S227" s="10" t="str">
        <f t="shared" si="1"/>
        <v/>
      </c>
      <c r="T227" s="12" t="str">
        <f t="shared" si="2"/>
        <v/>
      </c>
      <c r="U227" s="10" t="str">
        <f t="shared" si="3"/>
        <v/>
      </c>
      <c r="V227" s="10"/>
      <c r="W227" s="10"/>
      <c r="X227" s="10"/>
      <c r="Y227" s="13" t="str">
        <f t="shared" si="4"/>
        <v/>
      </c>
      <c r="Z227" s="10" t="str">
        <f t="shared" si="5"/>
        <v/>
      </c>
      <c r="AA227" s="10"/>
      <c r="AB227" s="10"/>
      <c r="AC227" s="10"/>
      <c r="AD227" s="10"/>
      <c r="AE227" s="11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1"/>
      <c r="J228" s="11"/>
      <c r="K228" s="10"/>
      <c r="L228" s="10"/>
      <c r="M228" s="10"/>
      <c r="N228" s="10"/>
      <c r="O228" s="10"/>
      <c r="P228" s="10"/>
      <c r="Q228" s="10"/>
      <c r="R228" s="10"/>
      <c r="S228" s="10" t="str">
        <f t="shared" si="1"/>
        <v/>
      </c>
      <c r="T228" s="12" t="str">
        <f t="shared" si="2"/>
        <v/>
      </c>
      <c r="U228" s="10" t="str">
        <f t="shared" si="3"/>
        <v/>
      </c>
      <c r="V228" s="10"/>
      <c r="W228" s="10"/>
      <c r="X228" s="10"/>
      <c r="Y228" s="13" t="str">
        <f t="shared" si="4"/>
        <v/>
      </c>
      <c r="Z228" s="10" t="str">
        <f t="shared" si="5"/>
        <v/>
      </c>
      <c r="AA228" s="10"/>
      <c r="AB228" s="10"/>
      <c r="AC228" s="10"/>
      <c r="AD228" s="10"/>
      <c r="AE228" s="11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1"/>
      <c r="J229" s="11"/>
      <c r="K229" s="10"/>
      <c r="L229" s="10"/>
      <c r="M229" s="10"/>
      <c r="N229" s="10"/>
      <c r="O229" s="10"/>
      <c r="P229" s="10"/>
      <c r="Q229" s="10"/>
      <c r="R229" s="10"/>
      <c r="S229" s="10" t="str">
        <f t="shared" si="1"/>
        <v/>
      </c>
      <c r="T229" s="12" t="str">
        <f t="shared" si="2"/>
        <v/>
      </c>
      <c r="U229" s="10" t="str">
        <f t="shared" si="3"/>
        <v/>
      </c>
      <c r="V229" s="10"/>
      <c r="W229" s="10"/>
      <c r="X229" s="10"/>
      <c r="Y229" s="13" t="str">
        <f t="shared" si="4"/>
        <v/>
      </c>
      <c r="Z229" s="10" t="str">
        <f t="shared" si="5"/>
        <v/>
      </c>
      <c r="AA229" s="10"/>
      <c r="AB229" s="10"/>
      <c r="AC229" s="10"/>
      <c r="AD229" s="10"/>
      <c r="AE229" s="11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1"/>
      <c r="J230" s="11"/>
      <c r="K230" s="10"/>
      <c r="L230" s="10"/>
      <c r="M230" s="10"/>
      <c r="N230" s="10"/>
      <c r="O230" s="10"/>
      <c r="P230" s="10"/>
      <c r="Q230" s="10"/>
      <c r="R230" s="10"/>
      <c r="S230" s="10" t="str">
        <f t="shared" si="1"/>
        <v/>
      </c>
      <c r="T230" s="12" t="str">
        <f t="shared" si="2"/>
        <v/>
      </c>
      <c r="U230" s="10" t="str">
        <f t="shared" si="3"/>
        <v/>
      </c>
      <c r="V230" s="10"/>
      <c r="W230" s="10"/>
      <c r="X230" s="10"/>
      <c r="Y230" s="13" t="str">
        <f t="shared" si="4"/>
        <v/>
      </c>
      <c r="Z230" s="10" t="str">
        <f t="shared" si="5"/>
        <v/>
      </c>
      <c r="AA230" s="10"/>
      <c r="AB230" s="10"/>
      <c r="AC230" s="10"/>
      <c r="AD230" s="10"/>
      <c r="AE230" s="11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1"/>
      <c r="J231" s="11"/>
      <c r="K231" s="10"/>
      <c r="L231" s="10"/>
      <c r="M231" s="10"/>
      <c r="N231" s="10"/>
      <c r="O231" s="10"/>
      <c r="P231" s="10"/>
      <c r="Q231" s="10"/>
      <c r="R231" s="10"/>
      <c r="S231" s="10" t="str">
        <f t="shared" si="1"/>
        <v/>
      </c>
      <c r="T231" s="12" t="str">
        <f t="shared" si="2"/>
        <v/>
      </c>
      <c r="U231" s="10" t="str">
        <f t="shared" si="3"/>
        <v/>
      </c>
      <c r="V231" s="10"/>
      <c r="W231" s="10"/>
      <c r="X231" s="10"/>
      <c r="Y231" s="13" t="str">
        <f t="shared" si="4"/>
        <v/>
      </c>
      <c r="Z231" s="10" t="str">
        <f t="shared" si="5"/>
        <v/>
      </c>
      <c r="AA231" s="10"/>
      <c r="AB231" s="10"/>
      <c r="AC231" s="10"/>
      <c r="AD231" s="10"/>
      <c r="AE231" s="11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1"/>
      <c r="J232" s="11"/>
      <c r="K232" s="10"/>
      <c r="L232" s="10"/>
      <c r="M232" s="10"/>
      <c r="N232" s="10"/>
      <c r="O232" s="10"/>
      <c r="P232" s="10"/>
      <c r="Q232" s="10"/>
      <c r="R232" s="10"/>
      <c r="S232" s="10" t="str">
        <f t="shared" si="1"/>
        <v/>
      </c>
      <c r="T232" s="12" t="str">
        <f t="shared" si="2"/>
        <v/>
      </c>
      <c r="U232" s="10" t="str">
        <f t="shared" si="3"/>
        <v/>
      </c>
      <c r="V232" s="10"/>
      <c r="W232" s="10"/>
      <c r="X232" s="10"/>
      <c r="Y232" s="13" t="str">
        <f t="shared" si="4"/>
        <v/>
      </c>
      <c r="Z232" s="10" t="str">
        <f t="shared" si="5"/>
        <v/>
      </c>
      <c r="AA232" s="10"/>
      <c r="AB232" s="10"/>
      <c r="AC232" s="10"/>
      <c r="AD232" s="10"/>
      <c r="AE232" s="11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1"/>
      <c r="J233" s="11"/>
      <c r="K233" s="10"/>
      <c r="L233" s="10"/>
      <c r="M233" s="10"/>
      <c r="N233" s="10"/>
      <c r="O233" s="10"/>
      <c r="P233" s="10"/>
      <c r="Q233" s="10"/>
      <c r="R233" s="10"/>
      <c r="S233" s="10" t="str">
        <f t="shared" si="1"/>
        <v/>
      </c>
      <c r="T233" s="12" t="str">
        <f t="shared" si="2"/>
        <v/>
      </c>
      <c r="U233" s="10" t="str">
        <f t="shared" si="3"/>
        <v/>
      </c>
      <c r="V233" s="10"/>
      <c r="W233" s="10"/>
      <c r="X233" s="10"/>
      <c r="Y233" s="13" t="str">
        <f t="shared" si="4"/>
        <v/>
      </c>
      <c r="Z233" s="10" t="str">
        <f t="shared" si="5"/>
        <v/>
      </c>
      <c r="AA233" s="10"/>
      <c r="AB233" s="10"/>
      <c r="AC233" s="10"/>
      <c r="AD233" s="10"/>
      <c r="AE233" s="11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1"/>
      <c r="J234" s="11"/>
      <c r="K234" s="10"/>
      <c r="L234" s="10"/>
      <c r="M234" s="10"/>
      <c r="N234" s="10"/>
      <c r="O234" s="10"/>
      <c r="P234" s="10"/>
      <c r="Q234" s="10"/>
      <c r="R234" s="10"/>
      <c r="S234" s="10" t="str">
        <f t="shared" si="1"/>
        <v/>
      </c>
      <c r="T234" s="12" t="str">
        <f t="shared" si="2"/>
        <v/>
      </c>
      <c r="U234" s="10" t="str">
        <f t="shared" si="3"/>
        <v/>
      </c>
      <c r="V234" s="10"/>
      <c r="W234" s="10"/>
      <c r="X234" s="10"/>
      <c r="Y234" s="13" t="str">
        <f t="shared" si="4"/>
        <v/>
      </c>
      <c r="Z234" s="10" t="str">
        <f t="shared" si="5"/>
        <v/>
      </c>
      <c r="AA234" s="10"/>
      <c r="AB234" s="10"/>
      <c r="AC234" s="10"/>
      <c r="AD234" s="10"/>
      <c r="AE234" s="11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1"/>
      <c r="J235" s="11"/>
      <c r="K235" s="10"/>
      <c r="L235" s="10"/>
      <c r="M235" s="10"/>
      <c r="N235" s="10"/>
      <c r="O235" s="10"/>
      <c r="P235" s="10"/>
      <c r="Q235" s="10"/>
      <c r="R235" s="10"/>
      <c r="S235" s="10" t="str">
        <f t="shared" si="1"/>
        <v/>
      </c>
      <c r="T235" s="12" t="str">
        <f t="shared" si="2"/>
        <v/>
      </c>
      <c r="U235" s="10" t="str">
        <f t="shared" si="3"/>
        <v/>
      </c>
      <c r="V235" s="10"/>
      <c r="W235" s="10"/>
      <c r="X235" s="10"/>
      <c r="Y235" s="13" t="str">
        <f t="shared" si="4"/>
        <v/>
      </c>
      <c r="Z235" s="10" t="str">
        <f t="shared" si="5"/>
        <v/>
      </c>
      <c r="AA235" s="10"/>
      <c r="AB235" s="10"/>
      <c r="AC235" s="10"/>
      <c r="AD235" s="10"/>
      <c r="AE235" s="11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1"/>
      <c r="J236" s="11"/>
      <c r="K236" s="10"/>
      <c r="L236" s="10"/>
      <c r="M236" s="10"/>
      <c r="N236" s="10"/>
      <c r="O236" s="10"/>
      <c r="P236" s="10"/>
      <c r="Q236" s="10"/>
      <c r="R236" s="10"/>
      <c r="S236" s="10" t="str">
        <f t="shared" si="1"/>
        <v/>
      </c>
      <c r="T236" s="12" t="str">
        <f t="shared" si="2"/>
        <v/>
      </c>
      <c r="U236" s="10" t="str">
        <f t="shared" si="3"/>
        <v/>
      </c>
      <c r="V236" s="10"/>
      <c r="W236" s="10"/>
      <c r="X236" s="10"/>
      <c r="Y236" s="13" t="str">
        <f t="shared" si="4"/>
        <v/>
      </c>
      <c r="Z236" s="10" t="str">
        <f t="shared" si="5"/>
        <v/>
      </c>
      <c r="AA236" s="10"/>
      <c r="AB236" s="10"/>
      <c r="AC236" s="10"/>
      <c r="AD236" s="10"/>
      <c r="AE236" s="11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1"/>
      <c r="J237" s="11"/>
      <c r="K237" s="10"/>
      <c r="L237" s="10"/>
      <c r="M237" s="10"/>
      <c r="N237" s="10"/>
      <c r="O237" s="10"/>
      <c r="P237" s="10"/>
      <c r="Q237" s="10"/>
      <c r="R237" s="10"/>
      <c r="S237" s="10" t="str">
        <f t="shared" si="1"/>
        <v/>
      </c>
      <c r="T237" s="12" t="str">
        <f t="shared" si="2"/>
        <v/>
      </c>
      <c r="U237" s="10" t="str">
        <f t="shared" si="3"/>
        <v/>
      </c>
      <c r="V237" s="10"/>
      <c r="W237" s="10"/>
      <c r="X237" s="10"/>
      <c r="Y237" s="13" t="str">
        <f t="shared" si="4"/>
        <v/>
      </c>
      <c r="Z237" s="10" t="str">
        <f t="shared" si="5"/>
        <v/>
      </c>
      <c r="AA237" s="10"/>
      <c r="AB237" s="10"/>
      <c r="AC237" s="10"/>
      <c r="AD237" s="10"/>
      <c r="AE237" s="11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1"/>
      <c r="J238" s="11"/>
      <c r="K238" s="10"/>
      <c r="L238" s="10"/>
      <c r="M238" s="10"/>
      <c r="N238" s="10"/>
      <c r="O238" s="10"/>
      <c r="P238" s="10"/>
      <c r="Q238" s="10"/>
      <c r="R238" s="10"/>
      <c r="S238" s="10" t="str">
        <f t="shared" si="1"/>
        <v/>
      </c>
      <c r="T238" s="12" t="str">
        <f t="shared" si="2"/>
        <v/>
      </c>
      <c r="U238" s="10" t="str">
        <f t="shared" si="3"/>
        <v/>
      </c>
      <c r="V238" s="10"/>
      <c r="W238" s="10"/>
      <c r="X238" s="10"/>
      <c r="Y238" s="13" t="str">
        <f t="shared" si="4"/>
        <v/>
      </c>
      <c r="Z238" s="10" t="str">
        <f t="shared" si="5"/>
        <v/>
      </c>
      <c r="AA238" s="10"/>
      <c r="AB238" s="10"/>
      <c r="AC238" s="10"/>
      <c r="AD238" s="10"/>
      <c r="AE238" s="11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1"/>
      <c r="J239" s="11"/>
      <c r="K239" s="10"/>
      <c r="L239" s="10"/>
      <c r="M239" s="10"/>
      <c r="N239" s="10"/>
      <c r="O239" s="10"/>
      <c r="P239" s="10"/>
      <c r="Q239" s="10"/>
      <c r="R239" s="10"/>
      <c r="S239" s="10" t="str">
        <f t="shared" si="1"/>
        <v/>
      </c>
      <c r="T239" s="12" t="str">
        <f t="shared" si="2"/>
        <v/>
      </c>
      <c r="U239" s="10" t="str">
        <f t="shared" si="3"/>
        <v/>
      </c>
      <c r="V239" s="10"/>
      <c r="W239" s="10"/>
      <c r="X239" s="10"/>
      <c r="Y239" s="13" t="str">
        <f t="shared" si="4"/>
        <v/>
      </c>
      <c r="Z239" s="10" t="str">
        <f t="shared" si="5"/>
        <v/>
      </c>
      <c r="AA239" s="10"/>
      <c r="AB239" s="10"/>
      <c r="AC239" s="10"/>
      <c r="AD239" s="10"/>
      <c r="AE239" s="11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1"/>
      <c r="J240" s="11"/>
      <c r="K240" s="10"/>
      <c r="L240" s="10"/>
      <c r="M240" s="10"/>
      <c r="N240" s="10"/>
      <c r="O240" s="10"/>
      <c r="P240" s="10"/>
      <c r="Q240" s="10"/>
      <c r="R240" s="10"/>
      <c r="S240" s="10" t="str">
        <f t="shared" si="1"/>
        <v/>
      </c>
      <c r="T240" s="12" t="str">
        <f t="shared" si="2"/>
        <v/>
      </c>
      <c r="U240" s="10" t="str">
        <f t="shared" si="3"/>
        <v/>
      </c>
      <c r="V240" s="10"/>
      <c r="W240" s="10"/>
      <c r="X240" s="10"/>
      <c r="Y240" s="13" t="str">
        <f t="shared" si="4"/>
        <v/>
      </c>
      <c r="Z240" s="10" t="str">
        <f t="shared" si="5"/>
        <v/>
      </c>
      <c r="AA240" s="10"/>
      <c r="AB240" s="10"/>
      <c r="AC240" s="10"/>
      <c r="AD240" s="10"/>
      <c r="AE240" s="11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1"/>
      <c r="J241" s="11"/>
      <c r="K241" s="10"/>
      <c r="L241" s="10"/>
      <c r="M241" s="10"/>
      <c r="N241" s="10"/>
      <c r="O241" s="10"/>
      <c r="P241" s="10"/>
      <c r="Q241" s="10"/>
      <c r="R241" s="10"/>
      <c r="S241" s="10" t="str">
        <f t="shared" si="1"/>
        <v/>
      </c>
      <c r="T241" s="12" t="str">
        <f t="shared" si="2"/>
        <v/>
      </c>
      <c r="U241" s="10" t="str">
        <f t="shared" si="3"/>
        <v/>
      </c>
      <c r="V241" s="10"/>
      <c r="W241" s="10"/>
      <c r="X241" s="10"/>
      <c r="Y241" s="13" t="str">
        <f t="shared" si="4"/>
        <v/>
      </c>
      <c r="Z241" s="10" t="str">
        <f t="shared" si="5"/>
        <v/>
      </c>
      <c r="AA241" s="10"/>
      <c r="AB241" s="10"/>
      <c r="AC241" s="10"/>
      <c r="AD241" s="10"/>
      <c r="AE241" s="11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1"/>
      <c r="J242" s="11"/>
      <c r="K242" s="10"/>
      <c r="L242" s="10"/>
      <c r="M242" s="10"/>
      <c r="N242" s="10"/>
      <c r="O242" s="10"/>
      <c r="P242" s="10"/>
      <c r="Q242" s="10"/>
      <c r="R242" s="10"/>
      <c r="S242" s="10" t="str">
        <f t="shared" si="1"/>
        <v/>
      </c>
      <c r="T242" s="12" t="str">
        <f t="shared" si="2"/>
        <v/>
      </c>
      <c r="U242" s="10" t="str">
        <f t="shared" si="3"/>
        <v/>
      </c>
      <c r="V242" s="10"/>
      <c r="W242" s="10"/>
      <c r="X242" s="10"/>
      <c r="Y242" s="13" t="str">
        <f t="shared" si="4"/>
        <v/>
      </c>
      <c r="Z242" s="10" t="str">
        <f t="shared" si="5"/>
        <v/>
      </c>
      <c r="AA242" s="10"/>
      <c r="AB242" s="10"/>
      <c r="AC242" s="10"/>
      <c r="AD242" s="10"/>
      <c r="AE242" s="11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1"/>
      <c r="J243" s="11"/>
      <c r="K243" s="10"/>
      <c r="L243" s="10"/>
      <c r="M243" s="10"/>
      <c r="N243" s="10"/>
      <c r="O243" s="10"/>
      <c r="P243" s="10"/>
      <c r="Q243" s="10"/>
      <c r="R243" s="10"/>
      <c r="S243" s="10" t="str">
        <f t="shared" si="1"/>
        <v/>
      </c>
      <c r="T243" s="12" t="str">
        <f t="shared" si="2"/>
        <v/>
      </c>
      <c r="U243" s="10" t="str">
        <f t="shared" si="3"/>
        <v/>
      </c>
      <c r="V243" s="10"/>
      <c r="W243" s="10"/>
      <c r="X243" s="10"/>
      <c r="Y243" s="13" t="str">
        <f t="shared" si="4"/>
        <v/>
      </c>
      <c r="Z243" s="10" t="str">
        <f t="shared" si="5"/>
        <v/>
      </c>
      <c r="AA243" s="10"/>
      <c r="AB243" s="10"/>
      <c r="AC243" s="10"/>
      <c r="AD243" s="10"/>
      <c r="AE243" s="11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1"/>
      <c r="J244" s="11"/>
      <c r="K244" s="10"/>
      <c r="L244" s="10"/>
      <c r="M244" s="10"/>
      <c r="N244" s="10"/>
      <c r="O244" s="10"/>
      <c r="P244" s="10"/>
      <c r="Q244" s="10"/>
      <c r="R244" s="10"/>
      <c r="S244" s="10" t="str">
        <f t="shared" si="1"/>
        <v/>
      </c>
      <c r="T244" s="12" t="str">
        <f t="shared" si="2"/>
        <v/>
      </c>
      <c r="U244" s="10" t="str">
        <f t="shared" si="3"/>
        <v/>
      </c>
      <c r="V244" s="10"/>
      <c r="W244" s="10"/>
      <c r="X244" s="10"/>
      <c r="Y244" s="13" t="str">
        <f t="shared" si="4"/>
        <v/>
      </c>
      <c r="Z244" s="10" t="str">
        <f t="shared" si="5"/>
        <v/>
      </c>
      <c r="AA244" s="10"/>
      <c r="AB244" s="10"/>
      <c r="AC244" s="10"/>
      <c r="AD244" s="10"/>
      <c r="AE244" s="11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1"/>
      <c r="J245" s="11"/>
      <c r="K245" s="10"/>
      <c r="L245" s="10"/>
      <c r="M245" s="10"/>
      <c r="N245" s="10"/>
      <c r="O245" s="10"/>
      <c r="P245" s="10"/>
      <c r="Q245" s="10"/>
      <c r="R245" s="10"/>
      <c r="S245" s="10" t="str">
        <f t="shared" si="1"/>
        <v/>
      </c>
      <c r="T245" s="12" t="str">
        <f t="shared" si="2"/>
        <v/>
      </c>
      <c r="U245" s="10" t="str">
        <f t="shared" si="3"/>
        <v/>
      </c>
      <c r="V245" s="10"/>
      <c r="W245" s="10"/>
      <c r="X245" s="10"/>
      <c r="Y245" s="13" t="str">
        <f t="shared" si="4"/>
        <v/>
      </c>
      <c r="Z245" s="10" t="str">
        <f t="shared" si="5"/>
        <v/>
      </c>
      <c r="AA245" s="10"/>
      <c r="AB245" s="10"/>
      <c r="AC245" s="10"/>
      <c r="AD245" s="10"/>
      <c r="AE245" s="11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1"/>
      <c r="J246" s="11"/>
      <c r="K246" s="10"/>
      <c r="L246" s="10"/>
      <c r="M246" s="10"/>
      <c r="N246" s="10"/>
      <c r="O246" s="10"/>
      <c r="P246" s="10"/>
      <c r="Q246" s="10"/>
      <c r="R246" s="10"/>
      <c r="S246" s="10" t="str">
        <f t="shared" si="1"/>
        <v/>
      </c>
      <c r="T246" s="12" t="str">
        <f t="shared" si="2"/>
        <v/>
      </c>
      <c r="U246" s="10" t="str">
        <f t="shared" si="3"/>
        <v/>
      </c>
      <c r="V246" s="10"/>
      <c r="W246" s="10"/>
      <c r="X246" s="10"/>
      <c r="Y246" s="13" t="str">
        <f t="shared" si="4"/>
        <v/>
      </c>
      <c r="Z246" s="10" t="str">
        <f t="shared" si="5"/>
        <v/>
      </c>
      <c r="AA246" s="10"/>
      <c r="AB246" s="10"/>
      <c r="AC246" s="10"/>
      <c r="AD246" s="10"/>
      <c r="AE246" s="11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1"/>
      <c r="J247" s="11"/>
      <c r="K247" s="10"/>
      <c r="L247" s="10"/>
      <c r="M247" s="10"/>
      <c r="N247" s="10"/>
      <c r="O247" s="10"/>
      <c r="P247" s="10"/>
      <c r="Q247" s="10"/>
      <c r="R247" s="10"/>
      <c r="S247" s="10" t="str">
        <f t="shared" si="1"/>
        <v/>
      </c>
      <c r="T247" s="12" t="str">
        <f t="shared" si="2"/>
        <v/>
      </c>
      <c r="U247" s="10" t="str">
        <f t="shared" si="3"/>
        <v/>
      </c>
      <c r="V247" s="10"/>
      <c r="W247" s="10"/>
      <c r="X247" s="10"/>
      <c r="Y247" s="13" t="str">
        <f t="shared" si="4"/>
        <v/>
      </c>
      <c r="Z247" s="10" t="str">
        <f t="shared" si="5"/>
        <v/>
      </c>
      <c r="AA247" s="10"/>
      <c r="AB247" s="10"/>
      <c r="AC247" s="10"/>
      <c r="AD247" s="10"/>
      <c r="AE247" s="11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1"/>
      <c r="J248" s="11"/>
      <c r="K248" s="10"/>
      <c r="L248" s="10"/>
      <c r="M248" s="10"/>
      <c r="N248" s="10"/>
      <c r="O248" s="10"/>
      <c r="P248" s="10"/>
      <c r="Q248" s="10"/>
      <c r="R248" s="10"/>
      <c r="S248" s="10" t="str">
        <f t="shared" si="1"/>
        <v/>
      </c>
      <c r="T248" s="12" t="str">
        <f t="shared" si="2"/>
        <v/>
      </c>
      <c r="U248" s="10" t="str">
        <f t="shared" si="3"/>
        <v/>
      </c>
      <c r="V248" s="10"/>
      <c r="W248" s="10"/>
      <c r="X248" s="10"/>
      <c r="Y248" s="13" t="str">
        <f t="shared" si="4"/>
        <v/>
      </c>
      <c r="Z248" s="10" t="str">
        <f t="shared" si="5"/>
        <v/>
      </c>
      <c r="AA248" s="10"/>
      <c r="AB248" s="10"/>
      <c r="AC248" s="10"/>
      <c r="AD248" s="10"/>
      <c r="AE248" s="11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1"/>
      <c r="J249" s="11"/>
      <c r="K249" s="10"/>
      <c r="L249" s="10"/>
      <c r="M249" s="10"/>
      <c r="N249" s="10"/>
      <c r="O249" s="10"/>
      <c r="P249" s="10"/>
      <c r="Q249" s="10"/>
      <c r="R249" s="10"/>
      <c r="S249" s="10" t="str">
        <f t="shared" si="1"/>
        <v/>
      </c>
      <c r="T249" s="12" t="str">
        <f t="shared" si="2"/>
        <v/>
      </c>
      <c r="U249" s="10" t="str">
        <f t="shared" si="3"/>
        <v/>
      </c>
      <c r="V249" s="10"/>
      <c r="W249" s="10"/>
      <c r="X249" s="10"/>
      <c r="Y249" s="13" t="str">
        <f t="shared" si="4"/>
        <v/>
      </c>
      <c r="Z249" s="10" t="str">
        <f t="shared" si="5"/>
        <v/>
      </c>
      <c r="AA249" s="10"/>
      <c r="AB249" s="10"/>
      <c r="AC249" s="10"/>
      <c r="AD249" s="10"/>
      <c r="AE249" s="11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1"/>
      <c r="J250" s="11"/>
      <c r="K250" s="10"/>
      <c r="L250" s="10"/>
      <c r="M250" s="10"/>
      <c r="N250" s="10"/>
      <c r="O250" s="10"/>
      <c r="P250" s="10"/>
      <c r="Q250" s="10"/>
      <c r="R250" s="10"/>
      <c r="S250" s="10" t="str">
        <f t="shared" si="1"/>
        <v/>
      </c>
      <c r="T250" s="12" t="str">
        <f t="shared" si="2"/>
        <v/>
      </c>
      <c r="U250" s="10" t="str">
        <f t="shared" si="3"/>
        <v/>
      </c>
      <c r="V250" s="10"/>
      <c r="W250" s="10"/>
      <c r="X250" s="10"/>
      <c r="Y250" s="13" t="str">
        <f t="shared" si="4"/>
        <v/>
      </c>
      <c r="Z250" s="10" t="str">
        <f t="shared" si="5"/>
        <v/>
      </c>
      <c r="AA250" s="10"/>
      <c r="AB250" s="10"/>
      <c r="AC250" s="10"/>
      <c r="AD250" s="10"/>
      <c r="AE250" s="11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1"/>
      <c r="J251" s="11"/>
      <c r="K251" s="10"/>
      <c r="L251" s="10"/>
      <c r="M251" s="10"/>
      <c r="N251" s="10"/>
      <c r="O251" s="10"/>
      <c r="P251" s="10"/>
      <c r="Q251" s="10"/>
      <c r="R251" s="10"/>
      <c r="S251" s="10" t="str">
        <f t="shared" si="1"/>
        <v/>
      </c>
      <c r="T251" s="12" t="str">
        <f t="shared" si="2"/>
        <v/>
      </c>
      <c r="U251" s="10" t="str">
        <f t="shared" si="3"/>
        <v/>
      </c>
      <c r="V251" s="10"/>
      <c r="W251" s="10"/>
      <c r="X251" s="10"/>
      <c r="Y251" s="13" t="str">
        <f t="shared" si="4"/>
        <v/>
      </c>
      <c r="Z251" s="10" t="str">
        <f t="shared" si="5"/>
        <v/>
      </c>
      <c r="AA251" s="10"/>
      <c r="AB251" s="10"/>
      <c r="AC251" s="10"/>
      <c r="AD251" s="10"/>
      <c r="AE251" s="11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1"/>
      <c r="J252" s="11"/>
      <c r="K252" s="10"/>
      <c r="L252" s="10"/>
      <c r="M252" s="10"/>
      <c r="N252" s="10"/>
      <c r="O252" s="10"/>
      <c r="P252" s="10"/>
      <c r="Q252" s="10"/>
      <c r="R252" s="10"/>
      <c r="S252" s="10" t="str">
        <f t="shared" si="1"/>
        <v/>
      </c>
      <c r="T252" s="12" t="str">
        <f t="shared" si="2"/>
        <v/>
      </c>
      <c r="U252" s="10" t="str">
        <f t="shared" si="3"/>
        <v/>
      </c>
      <c r="V252" s="10"/>
      <c r="W252" s="10"/>
      <c r="X252" s="10"/>
      <c r="Y252" s="13" t="str">
        <f t="shared" si="4"/>
        <v/>
      </c>
      <c r="Z252" s="10" t="str">
        <f t="shared" si="5"/>
        <v/>
      </c>
      <c r="AA252" s="10"/>
      <c r="AB252" s="10"/>
      <c r="AC252" s="10"/>
      <c r="AD252" s="10"/>
      <c r="AE252" s="11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1"/>
      <c r="J253" s="11"/>
      <c r="K253" s="10"/>
      <c r="L253" s="10"/>
      <c r="M253" s="10"/>
      <c r="N253" s="10"/>
      <c r="O253" s="10"/>
      <c r="P253" s="10"/>
      <c r="Q253" s="10"/>
      <c r="R253" s="10"/>
      <c r="S253" s="10" t="str">
        <f t="shared" si="1"/>
        <v/>
      </c>
      <c r="T253" s="12" t="str">
        <f t="shared" si="2"/>
        <v/>
      </c>
      <c r="U253" s="10" t="str">
        <f t="shared" si="3"/>
        <v/>
      </c>
      <c r="V253" s="10"/>
      <c r="W253" s="10"/>
      <c r="X253" s="10"/>
      <c r="Y253" s="13" t="str">
        <f t="shared" si="4"/>
        <v/>
      </c>
      <c r="Z253" s="10" t="str">
        <f t="shared" si="5"/>
        <v/>
      </c>
      <c r="AA253" s="10"/>
      <c r="AB253" s="10"/>
      <c r="AC253" s="10"/>
      <c r="AD253" s="10"/>
      <c r="AE253" s="11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1"/>
      <c r="J254" s="11"/>
      <c r="K254" s="10"/>
      <c r="L254" s="10"/>
      <c r="M254" s="10"/>
      <c r="N254" s="10"/>
      <c r="O254" s="10"/>
      <c r="P254" s="10"/>
      <c r="Q254" s="10"/>
      <c r="R254" s="10"/>
      <c r="S254" s="10" t="str">
        <f t="shared" si="1"/>
        <v/>
      </c>
      <c r="T254" s="12" t="str">
        <f t="shared" si="2"/>
        <v/>
      </c>
      <c r="U254" s="10" t="str">
        <f t="shared" si="3"/>
        <v/>
      </c>
      <c r="V254" s="10"/>
      <c r="W254" s="10"/>
      <c r="X254" s="10"/>
      <c r="Y254" s="13" t="str">
        <f t="shared" si="4"/>
        <v/>
      </c>
      <c r="Z254" s="10" t="str">
        <f t="shared" si="5"/>
        <v/>
      </c>
      <c r="AA254" s="10"/>
      <c r="AB254" s="10"/>
      <c r="AC254" s="10"/>
      <c r="AD254" s="10"/>
      <c r="AE254" s="11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1"/>
      <c r="J255" s="11"/>
      <c r="K255" s="10"/>
      <c r="L255" s="10"/>
      <c r="M255" s="10"/>
      <c r="N255" s="10"/>
      <c r="O255" s="10"/>
      <c r="P255" s="10"/>
      <c r="Q255" s="10"/>
      <c r="R255" s="10"/>
      <c r="S255" s="10" t="str">
        <f t="shared" si="1"/>
        <v/>
      </c>
      <c r="T255" s="12" t="str">
        <f t="shared" si="2"/>
        <v/>
      </c>
      <c r="U255" s="10" t="str">
        <f t="shared" si="3"/>
        <v/>
      </c>
      <c r="V255" s="10"/>
      <c r="W255" s="10"/>
      <c r="X255" s="10"/>
      <c r="Y255" s="13" t="str">
        <f t="shared" si="4"/>
        <v/>
      </c>
      <c r="Z255" s="10" t="str">
        <f t="shared" si="5"/>
        <v/>
      </c>
      <c r="AA255" s="10"/>
      <c r="AB255" s="10"/>
      <c r="AC255" s="10"/>
      <c r="AD255" s="10"/>
      <c r="AE255" s="11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1"/>
      <c r="J256" s="11"/>
      <c r="K256" s="10"/>
      <c r="L256" s="10"/>
      <c r="M256" s="10"/>
      <c r="N256" s="10"/>
      <c r="O256" s="10"/>
      <c r="P256" s="10"/>
      <c r="Q256" s="10"/>
      <c r="R256" s="10"/>
      <c r="S256" s="10" t="str">
        <f t="shared" si="1"/>
        <v/>
      </c>
      <c r="T256" s="12" t="str">
        <f t="shared" si="2"/>
        <v/>
      </c>
      <c r="U256" s="10" t="str">
        <f t="shared" si="3"/>
        <v/>
      </c>
      <c r="V256" s="10"/>
      <c r="W256" s="10"/>
      <c r="X256" s="10"/>
      <c r="Y256" s="13" t="str">
        <f t="shared" si="4"/>
        <v/>
      </c>
      <c r="Z256" s="10" t="str">
        <f t="shared" si="5"/>
        <v/>
      </c>
      <c r="AA256" s="10"/>
      <c r="AB256" s="10"/>
      <c r="AC256" s="10"/>
      <c r="AD256" s="10"/>
      <c r="AE256" s="11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1"/>
      <c r="J257" s="11"/>
      <c r="K257" s="10"/>
      <c r="L257" s="10"/>
      <c r="M257" s="10"/>
      <c r="N257" s="10"/>
      <c r="O257" s="10"/>
      <c r="P257" s="10"/>
      <c r="Q257" s="10"/>
      <c r="R257" s="10"/>
      <c r="S257" s="10" t="str">
        <f t="shared" si="1"/>
        <v/>
      </c>
      <c r="T257" s="12" t="str">
        <f t="shared" si="2"/>
        <v/>
      </c>
      <c r="U257" s="10" t="str">
        <f t="shared" si="3"/>
        <v/>
      </c>
      <c r="V257" s="10"/>
      <c r="W257" s="10"/>
      <c r="X257" s="10"/>
      <c r="Y257" s="13" t="str">
        <f t="shared" si="4"/>
        <v/>
      </c>
      <c r="Z257" s="10" t="str">
        <f t="shared" si="5"/>
        <v/>
      </c>
      <c r="AA257" s="10"/>
      <c r="AB257" s="10"/>
      <c r="AC257" s="10"/>
      <c r="AD257" s="10"/>
      <c r="AE257" s="11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1"/>
      <c r="J258" s="11"/>
      <c r="K258" s="10"/>
      <c r="L258" s="10"/>
      <c r="M258" s="10"/>
      <c r="N258" s="10"/>
      <c r="O258" s="10"/>
      <c r="P258" s="10"/>
      <c r="Q258" s="10"/>
      <c r="R258" s="10"/>
      <c r="S258" s="10" t="str">
        <f t="shared" si="1"/>
        <v/>
      </c>
      <c r="T258" s="12" t="str">
        <f t="shared" si="2"/>
        <v/>
      </c>
      <c r="U258" s="10" t="str">
        <f t="shared" si="3"/>
        <v/>
      </c>
      <c r="V258" s="10"/>
      <c r="W258" s="10"/>
      <c r="X258" s="10"/>
      <c r="Y258" s="13" t="str">
        <f t="shared" si="4"/>
        <v/>
      </c>
      <c r="Z258" s="10" t="str">
        <f t="shared" si="5"/>
        <v/>
      </c>
      <c r="AA258" s="10"/>
      <c r="AB258" s="10"/>
      <c r="AC258" s="10"/>
      <c r="AD258" s="10"/>
      <c r="AE258" s="11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1"/>
      <c r="J259" s="11"/>
      <c r="K259" s="10"/>
      <c r="L259" s="10"/>
      <c r="M259" s="10"/>
      <c r="N259" s="10"/>
      <c r="O259" s="10"/>
      <c r="P259" s="10"/>
      <c r="Q259" s="10"/>
      <c r="R259" s="10"/>
      <c r="S259" s="10" t="str">
        <f t="shared" si="1"/>
        <v/>
      </c>
      <c r="T259" s="12" t="str">
        <f t="shared" si="2"/>
        <v/>
      </c>
      <c r="U259" s="10" t="str">
        <f t="shared" si="3"/>
        <v/>
      </c>
      <c r="V259" s="10"/>
      <c r="W259" s="10"/>
      <c r="X259" s="10"/>
      <c r="Y259" s="13" t="str">
        <f t="shared" si="4"/>
        <v/>
      </c>
      <c r="Z259" s="10" t="str">
        <f t="shared" si="5"/>
        <v/>
      </c>
      <c r="AA259" s="10"/>
      <c r="AB259" s="10"/>
      <c r="AC259" s="10"/>
      <c r="AD259" s="10"/>
      <c r="AE259" s="11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1"/>
      <c r="J260" s="11"/>
      <c r="K260" s="10"/>
      <c r="L260" s="10"/>
      <c r="M260" s="10"/>
      <c r="N260" s="10"/>
      <c r="O260" s="10"/>
      <c r="P260" s="10"/>
      <c r="Q260" s="10"/>
      <c r="R260" s="10"/>
      <c r="S260" s="10" t="str">
        <f t="shared" si="1"/>
        <v/>
      </c>
      <c r="T260" s="12" t="str">
        <f t="shared" si="2"/>
        <v/>
      </c>
      <c r="U260" s="10" t="str">
        <f t="shared" si="3"/>
        <v/>
      </c>
      <c r="V260" s="10"/>
      <c r="W260" s="10"/>
      <c r="X260" s="10"/>
      <c r="Y260" s="13" t="str">
        <f t="shared" si="4"/>
        <v/>
      </c>
      <c r="Z260" s="10" t="str">
        <f t="shared" si="5"/>
        <v/>
      </c>
      <c r="AA260" s="10"/>
      <c r="AB260" s="10"/>
      <c r="AC260" s="10"/>
      <c r="AD260" s="10"/>
      <c r="AE260" s="11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1"/>
      <c r="J261" s="11"/>
      <c r="K261" s="10"/>
      <c r="L261" s="10"/>
      <c r="M261" s="10"/>
      <c r="N261" s="10"/>
      <c r="O261" s="10"/>
      <c r="P261" s="10"/>
      <c r="Q261" s="10"/>
      <c r="R261" s="10"/>
      <c r="S261" s="10" t="str">
        <f t="shared" si="1"/>
        <v/>
      </c>
      <c r="T261" s="12" t="str">
        <f t="shared" si="2"/>
        <v/>
      </c>
      <c r="U261" s="10" t="str">
        <f t="shared" si="3"/>
        <v/>
      </c>
      <c r="V261" s="10"/>
      <c r="W261" s="10"/>
      <c r="X261" s="10"/>
      <c r="Y261" s="13" t="str">
        <f t="shared" si="4"/>
        <v/>
      </c>
      <c r="Z261" s="10" t="str">
        <f t="shared" si="5"/>
        <v/>
      </c>
      <c r="AA261" s="10"/>
      <c r="AB261" s="10"/>
      <c r="AC261" s="10"/>
      <c r="AD261" s="10"/>
      <c r="AE261" s="11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1"/>
      <c r="J262" s="11"/>
      <c r="K262" s="10"/>
      <c r="L262" s="10"/>
      <c r="M262" s="10"/>
      <c r="N262" s="10"/>
      <c r="O262" s="10"/>
      <c r="P262" s="10"/>
      <c r="Q262" s="10"/>
      <c r="R262" s="10"/>
      <c r="S262" s="10" t="str">
        <f t="shared" si="1"/>
        <v/>
      </c>
      <c r="T262" s="12" t="str">
        <f t="shared" si="2"/>
        <v/>
      </c>
      <c r="U262" s="10" t="str">
        <f t="shared" si="3"/>
        <v/>
      </c>
      <c r="V262" s="10"/>
      <c r="W262" s="10"/>
      <c r="X262" s="10"/>
      <c r="Y262" s="13" t="str">
        <f t="shared" si="4"/>
        <v/>
      </c>
      <c r="Z262" s="10" t="str">
        <f t="shared" si="5"/>
        <v/>
      </c>
      <c r="AA262" s="10"/>
      <c r="AB262" s="10"/>
      <c r="AC262" s="10"/>
      <c r="AD262" s="10"/>
      <c r="AE262" s="11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1"/>
      <c r="J263" s="11"/>
      <c r="K263" s="10"/>
      <c r="L263" s="10"/>
      <c r="M263" s="10"/>
      <c r="N263" s="10"/>
      <c r="O263" s="10"/>
      <c r="P263" s="10"/>
      <c r="Q263" s="10"/>
      <c r="R263" s="10"/>
      <c r="S263" s="10" t="str">
        <f t="shared" si="1"/>
        <v/>
      </c>
      <c r="T263" s="12" t="str">
        <f t="shared" si="2"/>
        <v/>
      </c>
      <c r="U263" s="10" t="str">
        <f t="shared" si="3"/>
        <v/>
      </c>
      <c r="V263" s="10"/>
      <c r="W263" s="10"/>
      <c r="X263" s="10"/>
      <c r="Y263" s="13" t="str">
        <f t="shared" si="4"/>
        <v/>
      </c>
      <c r="Z263" s="10" t="str">
        <f t="shared" si="5"/>
        <v/>
      </c>
      <c r="AA263" s="10"/>
      <c r="AB263" s="10"/>
      <c r="AC263" s="10"/>
      <c r="AD263" s="10"/>
      <c r="AE263" s="11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1"/>
      <c r="J264" s="11"/>
      <c r="K264" s="10"/>
      <c r="L264" s="10"/>
      <c r="M264" s="10"/>
      <c r="N264" s="10"/>
      <c r="O264" s="10"/>
      <c r="P264" s="10"/>
      <c r="Q264" s="10"/>
      <c r="R264" s="10"/>
      <c r="S264" s="10" t="str">
        <f t="shared" si="1"/>
        <v/>
      </c>
      <c r="T264" s="12" t="str">
        <f t="shared" si="2"/>
        <v/>
      </c>
      <c r="U264" s="10" t="str">
        <f t="shared" si="3"/>
        <v/>
      </c>
      <c r="V264" s="10"/>
      <c r="W264" s="10"/>
      <c r="X264" s="10"/>
      <c r="Y264" s="13" t="str">
        <f t="shared" si="4"/>
        <v/>
      </c>
      <c r="Z264" s="10" t="str">
        <f t="shared" si="5"/>
        <v/>
      </c>
      <c r="AA264" s="10"/>
      <c r="AB264" s="10"/>
      <c r="AC264" s="10"/>
      <c r="AD264" s="10"/>
      <c r="AE264" s="11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1"/>
      <c r="J265" s="11"/>
      <c r="K265" s="10"/>
      <c r="L265" s="10"/>
      <c r="M265" s="10"/>
      <c r="N265" s="10"/>
      <c r="O265" s="10"/>
      <c r="P265" s="10"/>
      <c r="Q265" s="10"/>
      <c r="R265" s="10"/>
      <c r="S265" s="10" t="str">
        <f t="shared" si="1"/>
        <v/>
      </c>
      <c r="T265" s="12" t="str">
        <f t="shared" si="2"/>
        <v/>
      </c>
      <c r="U265" s="10" t="str">
        <f t="shared" si="3"/>
        <v/>
      </c>
      <c r="V265" s="10"/>
      <c r="W265" s="10"/>
      <c r="X265" s="10"/>
      <c r="Y265" s="13" t="str">
        <f t="shared" si="4"/>
        <v/>
      </c>
      <c r="Z265" s="10" t="str">
        <f t="shared" si="5"/>
        <v/>
      </c>
      <c r="AA265" s="10"/>
      <c r="AB265" s="10"/>
      <c r="AC265" s="10"/>
      <c r="AD265" s="10"/>
      <c r="AE265" s="11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1"/>
      <c r="J266" s="11"/>
      <c r="K266" s="10"/>
      <c r="L266" s="10"/>
      <c r="M266" s="10"/>
      <c r="N266" s="10"/>
      <c r="O266" s="10"/>
      <c r="P266" s="10"/>
      <c r="Q266" s="10"/>
      <c r="R266" s="10"/>
      <c r="S266" s="10" t="str">
        <f t="shared" si="1"/>
        <v/>
      </c>
      <c r="T266" s="12" t="str">
        <f t="shared" si="2"/>
        <v/>
      </c>
      <c r="U266" s="10" t="str">
        <f t="shared" si="3"/>
        <v/>
      </c>
      <c r="V266" s="10"/>
      <c r="W266" s="10"/>
      <c r="X266" s="10"/>
      <c r="Y266" s="13" t="str">
        <f t="shared" si="4"/>
        <v/>
      </c>
      <c r="Z266" s="10" t="str">
        <f t="shared" si="5"/>
        <v/>
      </c>
      <c r="AA266" s="10"/>
      <c r="AB266" s="10"/>
      <c r="AC266" s="10"/>
      <c r="AD266" s="10"/>
      <c r="AE266" s="11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1"/>
      <c r="J267" s="11"/>
      <c r="K267" s="10"/>
      <c r="L267" s="10"/>
      <c r="M267" s="10"/>
      <c r="N267" s="10"/>
      <c r="O267" s="10"/>
      <c r="P267" s="10"/>
      <c r="Q267" s="10"/>
      <c r="R267" s="10"/>
      <c r="S267" s="10" t="str">
        <f t="shared" si="1"/>
        <v/>
      </c>
      <c r="T267" s="12" t="str">
        <f t="shared" si="2"/>
        <v/>
      </c>
      <c r="U267" s="10" t="str">
        <f t="shared" si="3"/>
        <v/>
      </c>
      <c r="V267" s="10"/>
      <c r="W267" s="10"/>
      <c r="X267" s="10"/>
      <c r="Y267" s="13" t="str">
        <f t="shared" si="4"/>
        <v/>
      </c>
      <c r="Z267" s="10" t="str">
        <f t="shared" si="5"/>
        <v/>
      </c>
      <c r="AA267" s="10"/>
      <c r="AB267" s="10"/>
      <c r="AC267" s="10"/>
      <c r="AD267" s="10"/>
      <c r="AE267" s="11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1"/>
      <c r="J268" s="11"/>
      <c r="K268" s="10"/>
      <c r="L268" s="10"/>
      <c r="M268" s="10"/>
      <c r="N268" s="10"/>
      <c r="O268" s="10"/>
      <c r="P268" s="10"/>
      <c r="Q268" s="10"/>
      <c r="R268" s="10"/>
      <c r="S268" s="10" t="str">
        <f t="shared" si="1"/>
        <v/>
      </c>
      <c r="T268" s="12" t="str">
        <f t="shared" si="2"/>
        <v/>
      </c>
      <c r="U268" s="10" t="str">
        <f t="shared" si="3"/>
        <v/>
      </c>
      <c r="V268" s="10"/>
      <c r="W268" s="10"/>
      <c r="X268" s="10"/>
      <c r="Y268" s="13" t="str">
        <f t="shared" si="4"/>
        <v/>
      </c>
      <c r="Z268" s="10" t="str">
        <f t="shared" si="5"/>
        <v/>
      </c>
      <c r="AA268" s="10"/>
      <c r="AB268" s="10"/>
      <c r="AC268" s="10"/>
      <c r="AD268" s="10"/>
      <c r="AE268" s="11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1"/>
      <c r="J269" s="11"/>
      <c r="K269" s="10"/>
      <c r="L269" s="10"/>
      <c r="M269" s="10"/>
      <c r="N269" s="10"/>
      <c r="O269" s="10"/>
      <c r="P269" s="10"/>
      <c r="Q269" s="10"/>
      <c r="R269" s="10"/>
      <c r="S269" s="10" t="str">
        <f t="shared" si="1"/>
        <v/>
      </c>
      <c r="T269" s="12" t="str">
        <f t="shared" si="2"/>
        <v/>
      </c>
      <c r="U269" s="10" t="str">
        <f t="shared" si="3"/>
        <v/>
      </c>
      <c r="V269" s="10"/>
      <c r="W269" s="10"/>
      <c r="X269" s="10"/>
      <c r="Y269" s="13" t="str">
        <f t="shared" si="4"/>
        <v/>
      </c>
      <c r="Z269" s="10" t="str">
        <f t="shared" si="5"/>
        <v/>
      </c>
      <c r="AA269" s="10"/>
      <c r="AB269" s="10"/>
      <c r="AC269" s="10"/>
      <c r="AD269" s="10"/>
      <c r="AE269" s="11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1"/>
      <c r="J270" s="11"/>
      <c r="K270" s="10"/>
      <c r="L270" s="10"/>
      <c r="M270" s="10"/>
      <c r="N270" s="10"/>
      <c r="O270" s="10"/>
      <c r="P270" s="10"/>
      <c r="Q270" s="10"/>
      <c r="R270" s="10"/>
      <c r="S270" s="10" t="str">
        <f t="shared" si="1"/>
        <v/>
      </c>
      <c r="T270" s="12" t="str">
        <f t="shared" si="2"/>
        <v/>
      </c>
      <c r="U270" s="10" t="str">
        <f t="shared" si="3"/>
        <v/>
      </c>
      <c r="V270" s="10"/>
      <c r="W270" s="10"/>
      <c r="X270" s="10"/>
      <c r="Y270" s="13" t="str">
        <f t="shared" si="4"/>
        <v/>
      </c>
      <c r="Z270" s="10" t="str">
        <f t="shared" si="5"/>
        <v/>
      </c>
      <c r="AA270" s="10"/>
      <c r="AB270" s="10"/>
      <c r="AC270" s="10"/>
      <c r="AD270" s="10"/>
      <c r="AE270" s="11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1"/>
      <c r="J271" s="11"/>
      <c r="K271" s="10"/>
      <c r="L271" s="10"/>
      <c r="M271" s="10"/>
      <c r="N271" s="10"/>
      <c r="O271" s="10"/>
      <c r="P271" s="10"/>
      <c r="Q271" s="10"/>
      <c r="R271" s="10"/>
      <c r="S271" s="10" t="str">
        <f t="shared" si="1"/>
        <v/>
      </c>
      <c r="T271" s="12" t="str">
        <f t="shared" si="2"/>
        <v/>
      </c>
      <c r="U271" s="10" t="str">
        <f t="shared" si="3"/>
        <v/>
      </c>
      <c r="V271" s="10"/>
      <c r="W271" s="10"/>
      <c r="X271" s="10"/>
      <c r="Y271" s="13" t="str">
        <f t="shared" si="4"/>
        <v/>
      </c>
      <c r="Z271" s="10" t="str">
        <f t="shared" si="5"/>
        <v/>
      </c>
      <c r="AA271" s="10"/>
      <c r="AB271" s="10"/>
      <c r="AC271" s="10"/>
      <c r="AD271" s="10"/>
      <c r="AE271" s="11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1"/>
      <c r="J272" s="11"/>
      <c r="K272" s="10"/>
      <c r="L272" s="10"/>
      <c r="M272" s="10"/>
      <c r="N272" s="10"/>
      <c r="O272" s="10"/>
      <c r="P272" s="10"/>
      <c r="Q272" s="10"/>
      <c r="R272" s="10"/>
      <c r="S272" s="10" t="str">
        <f t="shared" si="1"/>
        <v/>
      </c>
      <c r="T272" s="12" t="str">
        <f t="shared" si="2"/>
        <v/>
      </c>
      <c r="U272" s="10" t="str">
        <f t="shared" si="3"/>
        <v/>
      </c>
      <c r="V272" s="10"/>
      <c r="W272" s="10"/>
      <c r="X272" s="10"/>
      <c r="Y272" s="13" t="str">
        <f t="shared" si="4"/>
        <v/>
      </c>
      <c r="Z272" s="10" t="str">
        <f t="shared" si="5"/>
        <v/>
      </c>
      <c r="AA272" s="10"/>
      <c r="AB272" s="10"/>
      <c r="AC272" s="10"/>
      <c r="AD272" s="10"/>
      <c r="AE272" s="11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1"/>
      <c r="J273" s="11"/>
      <c r="K273" s="10"/>
      <c r="L273" s="10"/>
      <c r="M273" s="10"/>
      <c r="N273" s="10"/>
      <c r="O273" s="10"/>
      <c r="P273" s="10"/>
      <c r="Q273" s="10"/>
      <c r="R273" s="10"/>
      <c r="S273" s="10" t="str">
        <f t="shared" si="1"/>
        <v/>
      </c>
      <c r="T273" s="12" t="str">
        <f t="shared" si="2"/>
        <v/>
      </c>
      <c r="U273" s="10" t="str">
        <f t="shared" si="3"/>
        <v/>
      </c>
      <c r="V273" s="10"/>
      <c r="W273" s="10"/>
      <c r="X273" s="10"/>
      <c r="Y273" s="13" t="str">
        <f t="shared" si="4"/>
        <v/>
      </c>
      <c r="Z273" s="10" t="str">
        <f t="shared" si="5"/>
        <v/>
      </c>
      <c r="AA273" s="10"/>
      <c r="AB273" s="10"/>
      <c r="AC273" s="10"/>
      <c r="AD273" s="10"/>
      <c r="AE273" s="11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1"/>
      <c r="J274" s="11"/>
      <c r="K274" s="10"/>
      <c r="L274" s="10"/>
      <c r="M274" s="10"/>
      <c r="N274" s="10"/>
      <c r="O274" s="10"/>
      <c r="P274" s="10"/>
      <c r="Q274" s="10"/>
      <c r="R274" s="10"/>
      <c r="S274" s="10" t="str">
        <f t="shared" si="1"/>
        <v/>
      </c>
      <c r="T274" s="12" t="str">
        <f t="shared" si="2"/>
        <v/>
      </c>
      <c r="U274" s="10" t="str">
        <f t="shared" si="3"/>
        <v/>
      </c>
      <c r="V274" s="10"/>
      <c r="W274" s="10"/>
      <c r="X274" s="10"/>
      <c r="Y274" s="13" t="str">
        <f t="shared" si="4"/>
        <v/>
      </c>
      <c r="Z274" s="10" t="str">
        <f t="shared" si="5"/>
        <v/>
      </c>
      <c r="AA274" s="10"/>
      <c r="AB274" s="10"/>
      <c r="AC274" s="10"/>
      <c r="AD274" s="10"/>
      <c r="AE274" s="11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1"/>
      <c r="J275" s="11"/>
      <c r="K275" s="10"/>
      <c r="L275" s="10"/>
      <c r="M275" s="10"/>
      <c r="N275" s="10"/>
      <c r="O275" s="10"/>
      <c r="P275" s="10"/>
      <c r="Q275" s="10"/>
      <c r="R275" s="10"/>
      <c r="S275" s="10" t="str">
        <f t="shared" si="1"/>
        <v/>
      </c>
      <c r="T275" s="12" t="str">
        <f t="shared" si="2"/>
        <v/>
      </c>
      <c r="U275" s="10" t="str">
        <f t="shared" si="3"/>
        <v/>
      </c>
      <c r="V275" s="10"/>
      <c r="W275" s="10"/>
      <c r="X275" s="10"/>
      <c r="Y275" s="13" t="str">
        <f t="shared" si="4"/>
        <v/>
      </c>
      <c r="Z275" s="10" t="str">
        <f t="shared" si="5"/>
        <v/>
      </c>
      <c r="AA275" s="10"/>
      <c r="AB275" s="10"/>
      <c r="AC275" s="10"/>
      <c r="AD275" s="10"/>
      <c r="AE275" s="11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1"/>
      <c r="J276" s="11"/>
      <c r="K276" s="10"/>
      <c r="L276" s="10"/>
      <c r="M276" s="10"/>
      <c r="N276" s="10"/>
      <c r="O276" s="10"/>
      <c r="P276" s="10"/>
      <c r="Q276" s="10"/>
      <c r="R276" s="10"/>
      <c r="S276" s="10" t="str">
        <f t="shared" si="1"/>
        <v/>
      </c>
      <c r="T276" s="12" t="str">
        <f t="shared" si="2"/>
        <v/>
      </c>
      <c r="U276" s="10" t="str">
        <f t="shared" si="3"/>
        <v/>
      </c>
      <c r="V276" s="10"/>
      <c r="W276" s="10"/>
      <c r="X276" s="10"/>
      <c r="Y276" s="13" t="str">
        <f t="shared" si="4"/>
        <v/>
      </c>
      <c r="Z276" s="10" t="str">
        <f t="shared" si="5"/>
        <v/>
      </c>
      <c r="AA276" s="10"/>
      <c r="AB276" s="10"/>
      <c r="AC276" s="10"/>
      <c r="AD276" s="10"/>
      <c r="AE276" s="11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1"/>
      <c r="J277" s="11"/>
      <c r="K277" s="10"/>
      <c r="L277" s="10"/>
      <c r="M277" s="10"/>
      <c r="N277" s="10"/>
      <c r="O277" s="10"/>
      <c r="P277" s="10"/>
      <c r="Q277" s="10"/>
      <c r="R277" s="10"/>
      <c r="S277" s="10" t="str">
        <f t="shared" si="1"/>
        <v/>
      </c>
      <c r="T277" s="12" t="str">
        <f t="shared" si="2"/>
        <v/>
      </c>
      <c r="U277" s="10" t="str">
        <f t="shared" si="3"/>
        <v/>
      </c>
      <c r="V277" s="10"/>
      <c r="W277" s="10"/>
      <c r="X277" s="10"/>
      <c r="Y277" s="13" t="str">
        <f t="shared" si="4"/>
        <v/>
      </c>
      <c r="Z277" s="10" t="str">
        <f t="shared" si="5"/>
        <v/>
      </c>
      <c r="AA277" s="10"/>
      <c r="AB277" s="10"/>
      <c r="AC277" s="10"/>
      <c r="AD277" s="10"/>
      <c r="AE277" s="11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1"/>
      <c r="J278" s="11"/>
      <c r="K278" s="10"/>
      <c r="L278" s="10"/>
      <c r="M278" s="10"/>
      <c r="N278" s="10"/>
      <c r="O278" s="10"/>
      <c r="P278" s="10"/>
      <c r="Q278" s="10"/>
      <c r="R278" s="10"/>
      <c r="S278" s="10" t="str">
        <f t="shared" si="1"/>
        <v/>
      </c>
      <c r="T278" s="12" t="str">
        <f t="shared" si="2"/>
        <v/>
      </c>
      <c r="U278" s="10" t="str">
        <f t="shared" si="3"/>
        <v/>
      </c>
      <c r="V278" s="10"/>
      <c r="W278" s="10"/>
      <c r="X278" s="10"/>
      <c r="Y278" s="13" t="str">
        <f t="shared" si="4"/>
        <v/>
      </c>
      <c r="Z278" s="10" t="str">
        <f t="shared" si="5"/>
        <v/>
      </c>
      <c r="AA278" s="10"/>
      <c r="AB278" s="10"/>
      <c r="AC278" s="10"/>
      <c r="AD278" s="10"/>
      <c r="AE278" s="11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1"/>
      <c r="J279" s="11"/>
      <c r="K279" s="10"/>
      <c r="L279" s="10"/>
      <c r="M279" s="10"/>
      <c r="N279" s="10"/>
      <c r="O279" s="10"/>
      <c r="P279" s="10"/>
      <c r="Q279" s="10"/>
      <c r="R279" s="10"/>
      <c r="S279" s="10" t="str">
        <f t="shared" si="1"/>
        <v/>
      </c>
      <c r="T279" s="12" t="str">
        <f t="shared" si="2"/>
        <v/>
      </c>
      <c r="U279" s="10" t="str">
        <f t="shared" si="3"/>
        <v/>
      </c>
      <c r="V279" s="10"/>
      <c r="W279" s="10"/>
      <c r="X279" s="10"/>
      <c r="Y279" s="13" t="str">
        <f t="shared" si="4"/>
        <v/>
      </c>
      <c r="Z279" s="10" t="str">
        <f t="shared" si="5"/>
        <v/>
      </c>
      <c r="AA279" s="10"/>
      <c r="AB279" s="10"/>
      <c r="AC279" s="10"/>
      <c r="AD279" s="10"/>
      <c r="AE279" s="11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1"/>
      <c r="J280" s="11"/>
      <c r="K280" s="10"/>
      <c r="L280" s="10"/>
      <c r="M280" s="10"/>
      <c r="N280" s="10"/>
      <c r="O280" s="10"/>
      <c r="P280" s="10"/>
      <c r="Q280" s="10"/>
      <c r="R280" s="10"/>
      <c r="S280" s="10" t="str">
        <f t="shared" si="1"/>
        <v/>
      </c>
      <c r="T280" s="12" t="str">
        <f t="shared" si="2"/>
        <v/>
      </c>
      <c r="U280" s="10" t="str">
        <f t="shared" si="3"/>
        <v/>
      </c>
      <c r="V280" s="10"/>
      <c r="W280" s="10"/>
      <c r="X280" s="10"/>
      <c r="Y280" s="13" t="str">
        <f t="shared" si="4"/>
        <v/>
      </c>
      <c r="Z280" s="10" t="str">
        <f t="shared" si="5"/>
        <v/>
      </c>
      <c r="AA280" s="10"/>
      <c r="AB280" s="10"/>
      <c r="AC280" s="10"/>
      <c r="AD280" s="10"/>
      <c r="AE280" s="11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1"/>
      <c r="J281" s="11"/>
      <c r="K281" s="10"/>
      <c r="L281" s="10"/>
      <c r="M281" s="10"/>
      <c r="N281" s="10"/>
      <c r="O281" s="10"/>
      <c r="P281" s="10"/>
      <c r="Q281" s="10"/>
      <c r="R281" s="10"/>
      <c r="S281" s="10" t="str">
        <f t="shared" si="1"/>
        <v/>
      </c>
      <c r="T281" s="12" t="str">
        <f t="shared" si="2"/>
        <v/>
      </c>
      <c r="U281" s="10" t="str">
        <f t="shared" si="3"/>
        <v/>
      </c>
      <c r="V281" s="10"/>
      <c r="W281" s="10"/>
      <c r="X281" s="10"/>
      <c r="Y281" s="13" t="str">
        <f t="shared" si="4"/>
        <v/>
      </c>
      <c r="Z281" s="10" t="str">
        <f t="shared" si="5"/>
        <v/>
      </c>
      <c r="AA281" s="10"/>
      <c r="AB281" s="10"/>
      <c r="AC281" s="10"/>
      <c r="AD281" s="10"/>
      <c r="AE281" s="11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1"/>
      <c r="J282" s="11"/>
      <c r="K282" s="10"/>
      <c r="L282" s="10"/>
      <c r="M282" s="10"/>
      <c r="N282" s="10"/>
      <c r="O282" s="10"/>
      <c r="P282" s="10"/>
      <c r="Q282" s="10"/>
      <c r="R282" s="10"/>
      <c r="S282" s="10" t="str">
        <f t="shared" si="1"/>
        <v/>
      </c>
      <c r="T282" s="12" t="str">
        <f t="shared" si="2"/>
        <v/>
      </c>
      <c r="U282" s="10" t="str">
        <f t="shared" si="3"/>
        <v/>
      </c>
      <c r="V282" s="10"/>
      <c r="W282" s="10"/>
      <c r="X282" s="10"/>
      <c r="Y282" s="13" t="str">
        <f t="shared" si="4"/>
        <v/>
      </c>
      <c r="Z282" s="10" t="str">
        <f t="shared" si="5"/>
        <v/>
      </c>
      <c r="AA282" s="10"/>
      <c r="AB282" s="10"/>
      <c r="AC282" s="10"/>
      <c r="AD282" s="10"/>
      <c r="AE282" s="11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1"/>
      <c r="J283" s="11"/>
      <c r="K283" s="10"/>
      <c r="L283" s="10"/>
      <c r="M283" s="10"/>
      <c r="N283" s="10"/>
      <c r="O283" s="10"/>
      <c r="P283" s="10"/>
      <c r="Q283" s="10"/>
      <c r="R283" s="10"/>
      <c r="S283" s="10" t="str">
        <f t="shared" si="1"/>
        <v/>
      </c>
      <c r="T283" s="12" t="str">
        <f t="shared" si="2"/>
        <v/>
      </c>
      <c r="U283" s="10" t="str">
        <f t="shared" si="3"/>
        <v/>
      </c>
      <c r="V283" s="10"/>
      <c r="W283" s="10"/>
      <c r="X283" s="10"/>
      <c r="Y283" s="13" t="str">
        <f t="shared" si="4"/>
        <v/>
      </c>
      <c r="Z283" s="10" t="str">
        <f t="shared" si="5"/>
        <v/>
      </c>
      <c r="AA283" s="10"/>
      <c r="AB283" s="10"/>
      <c r="AC283" s="10"/>
      <c r="AD283" s="10"/>
      <c r="AE283" s="11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1"/>
      <c r="J284" s="11"/>
      <c r="K284" s="10"/>
      <c r="L284" s="10"/>
      <c r="M284" s="10"/>
      <c r="N284" s="10"/>
      <c r="O284" s="10"/>
      <c r="P284" s="10"/>
      <c r="Q284" s="10"/>
      <c r="R284" s="10"/>
      <c r="S284" s="10" t="str">
        <f t="shared" si="1"/>
        <v/>
      </c>
      <c r="T284" s="12" t="str">
        <f t="shared" si="2"/>
        <v/>
      </c>
      <c r="U284" s="10" t="str">
        <f t="shared" si="3"/>
        <v/>
      </c>
      <c r="V284" s="10"/>
      <c r="W284" s="10"/>
      <c r="X284" s="10"/>
      <c r="Y284" s="13" t="str">
        <f t="shared" si="4"/>
        <v/>
      </c>
      <c r="Z284" s="10" t="str">
        <f t="shared" si="5"/>
        <v/>
      </c>
      <c r="AA284" s="10"/>
      <c r="AB284" s="10"/>
      <c r="AC284" s="10"/>
      <c r="AD284" s="10"/>
      <c r="AE284" s="11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1"/>
      <c r="J285" s="11"/>
      <c r="K285" s="10"/>
      <c r="L285" s="10"/>
      <c r="M285" s="10"/>
      <c r="N285" s="10"/>
      <c r="O285" s="10"/>
      <c r="P285" s="10"/>
      <c r="Q285" s="10"/>
      <c r="R285" s="10"/>
      <c r="S285" s="10" t="str">
        <f t="shared" si="1"/>
        <v/>
      </c>
      <c r="T285" s="12" t="str">
        <f t="shared" si="2"/>
        <v/>
      </c>
      <c r="U285" s="10" t="str">
        <f t="shared" si="3"/>
        <v/>
      </c>
      <c r="V285" s="10"/>
      <c r="W285" s="10"/>
      <c r="X285" s="10"/>
      <c r="Y285" s="13" t="str">
        <f t="shared" si="4"/>
        <v/>
      </c>
      <c r="Z285" s="10" t="str">
        <f t="shared" si="5"/>
        <v/>
      </c>
      <c r="AA285" s="10"/>
      <c r="AB285" s="10"/>
      <c r="AC285" s="10"/>
      <c r="AD285" s="10"/>
      <c r="AE285" s="11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1"/>
      <c r="J286" s="11"/>
      <c r="K286" s="10"/>
      <c r="L286" s="10"/>
      <c r="M286" s="10"/>
      <c r="N286" s="10"/>
      <c r="O286" s="10"/>
      <c r="P286" s="10"/>
      <c r="Q286" s="10"/>
      <c r="R286" s="10"/>
      <c r="S286" s="10" t="str">
        <f t="shared" si="1"/>
        <v/>
      </c>
      <c r="T286" s="12" t="str">
        <f t="shared" si="2"/>
        <v/>
      </c>
      <c r="U286" s="10" t="str">
        <f t="shared" si="3"/>
        <v/>
      </c>
      <c r="V286" s="10"/>
      <c r="W286" s="10"/>
      <c r="X286" s="10"/>
      <c r="Y286" s="13" t="str">
        <f t="shared" si="4"/>
        <v/>
      </c>
      <c r="Z286" s="10" t="str">
        <f t="shared" si="5"/>
        <v/>
      </c>
      <c r="AA286" s="10"/>
      <c r="AB286" s="10"/>
      <c r="AC286" s="10"/>
      <c r="AD286" s="10"/>
      <c r="AE286" s="11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1"/>
      <c r="J287" s="11"/>
      <c r="K287" s="10"/>
      <c r="L287" s="10"/>
      <c r="M287" s="10"/>
      <c r="N287" s="10"/>
      <c r="O287" s="10"/>
      <c r="P287" s="10"/>
      <c r="Q287" s="10"/>
      <c r="R287" s="10"/>
      <c r="S287" s="10" t="str">
        <f t="shared" si="1"/>
        <v/>
      </c>
      <c r="T287" s="12" t="str">
        <f t="shared" si="2"/>
        <v/>
      </c>
      <c r="U287" s="10" t="str">
        <f t="shared" si="3"/>
        <v/>
      </c>
      <c r="V287" s="10"/>
      <c r="W287" s="10"/>
      <c r="X287" s="10"/>
      <c r="Y287" s="13" t="str">
        <f t="shared" si="4"/>
        <v/>
      </c>
      <c r="Z287" s="10" t="str">
        <f t="shared" si="5"/>
        <v/>
      </c>
      <c r="AA287" s="10"/>
      <c r="AB287" s="10"/>
      <c r="AC287" s="10"/>
      <c r="AD287" s="10"/>
      <c r="AE287" s="11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1"/>
      <c r="J288" s="11"/>
      <c r="K288" s="10"/>
      <c r="L288" s="10"/>
      <c r="M288" s="10"/>
      <c r="N288" s="10"/>
      <c r="O288" s="10"/>
      <c r="P288" s="10"/>
      <c r="Q288" s="10"/>
      <c r="R288" s="10"/>
      <c r="S288" s="10" t="str">
        <f t="shared" si="1"/>
        <v/>
      </c>
      <c r="T288" s="12" t="str">
        <f t="shared" si="2"/>
        <v/>
      </c>
      <c r="U288" s="10" t="str">
        <f t="shared" si="3"/>
        <v/>
      </c>
      <c r="V288" s="10"/>
      <c r="W288" s="10"/>
      <c r="X288" s="10"/>
      <c r="Y288" s="13" t="str">
        <f t="shared" si="4"/>
        <v/>
      </c>
      <c r="Z288" s="10" t="str">
        <f t="shared" si="5"/>
        <v/>
      </c>
      <c r="AA288" s="10"/>
      <c r="AB288" s="10"/>
      <c r="AC288" s="10"/>
      <c r="AD288" s="10"/>
      <c r="AE288" s="11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1"/>
      <c r="J289" s="11"/>
      <c r="K289" s="10"/>
      <c r="L289" s="10"/>
      <c r="M289" s="10"/>
      <c r="N289" s="10"/>
      <c r="O289" s="10"/>
      <c r="P289" s="10"/>
      <c r="Q289" s="10"/>
      <c r="R289" s="10"/>
      <c r="S289" s="10" t="str">
        <f t="shared" si="1"/>
        <v/>
      </c>
      <c r="T289" s="12" t="str">
        <f t="shared" si="2"/>
        <v/>
      </c>
      <c r="U289" s="10" t="str">
        <f t="shared" si="3"/>
        <v/>
      </c>
      <c r="V289" s="10"/>
      <c r="W289" s="10"/>
      <c r="X289" s="10"/>
      <c r="Y289" s="13" t="str">
        <f t="shared" si="4"/>
        <v/>
      </c>
      <c r="Z289" s="10" t="str">
        <f t="shared" si="5"/>
        <v/>
      </c>
      <c r="AA289" s="10"/>
      <c r="AB289" s="10"/>
      <c r="AC289" s="10"/>
      <c r="AD289" s="10"/>
      <c r="AE289" s="11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1"/>
      <c r="J290" s="11"/>
      <c r="K290" s="10"/>
      <c r="L290" s="10"/>
      <c r="M290" s="10"/>
      <c r="N290" s="10"/>
      <c r="O290" s="10"/>
      <c r="P290" s="10"/>
      <c r="Q290" s="10"/>
      <c r="R290" s="10"/>
      <c r="S290" s="10" t="str">
        <f t="shared" si="1"/>
        <v/>
      </c>
      <c r="T290" s="12" t="str">
        <f t="shared" si="2"/>
        <v/>
      </c>
      <c r="U290" s="10" t="str">
        <f t="shared" si="3"/>
        <v/>
      </c>
      <c r="V290" s="10"/>
      <c r="W290" s="10"/>
      <c r="X290" s="10"/>
      <c r="Y290" s="13" t="str">
        <f t="shared" si="4"/>
        <v/>
      </c>
      <c r="Z290" s="10" t="str">
        <f t="shared" si="5"/>
        <v/>
      </c>
      <c r="AA290" s="10"/>
      <c r="AB290" s="10"/>
      <c r="AC290" s="10"/>
      <c r="AD290" s="10"/>
      <c r="AE290" s="11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1"/>
      <c r="J291" s="11"/>
      <c r="K291" s="10"/>
      <c r="L291" s="10"/>
      <c r="M291" s="10"/>
      <c r="N291" s="10"/>
      <c r="O291" s="10"/>
      <c r="P291" s="10"/>
      <c r="Q291" s="10"/>
      <c r="R291" s="10"/>
      <c r="S291" s="10" t="str">
        <f t="shared" si="1"/>
        <v/>
      </c>
      <c r="T291" s="12" t="str">
        <f t="shared" si="2"/>
        <v/>
      </c>
      <c r="U291" s="10" t="str">
        <f t="shared" si="3"/>
        <v/>
      </c>
      <c r="V291" s="10"/>
      <c r="W291" s="10"/>
      <c r="X291" s="10"/>
      <c r="Y291" s="13" t="str">
        <f t="shared" si="4"/>
        <v/>
      </c>
      <c r="Z291" s="10" t="str">
        <f t="shared" si="5"/>
        <v/>
      </c>
      <c r="AA291" s="10"/>
      <c r="AB291" s="10"/>
      <c r="AC291" s="10"/>
      <c r="AD291" s="10"/>
      <c r="AE291" s="11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1"/>
      <c r="J292" s="11"/>
      <c r="K292" s="10"/>
      <c r="L292" s="10"/>
      <c r="M292" s="10"/>
      <c r="N292" s="10"/>
      <c r="O292" s="10"/>
      <c r="P292" s="10"/>
      <c r="Q292" s="10"/>
      <c r="R292" s="10"/>
      <c r="S292" s="10" t="str">
        <f t="shared" si="1"/>
        <v/>
      </c>
      <c r="T292" s="12" t="str">
        <f t="shared" si="2"/>
        <v/>
      </c>
      <c r="U292" s="10" t="str">
        <f t="shared" si="3"/>
        <v/>
      </c>
      <c r="V292" s="10"/>
      <c r="W292" s="10"/>
      <c r="X292" s="10"/>
      <c r="Y292" s="13" t="str">
        <f t="shared" si="4"/>
        <v/>
      </c>
      <c r="Z292" s="10" t="str">
        <f t="shared" si="5"/>
        <v/>
      </c>
      <c r="AA292" s="10"/>
      <c r="AB292" s="10"/>
      <c r="AC292" s="10"/>
      <c r="AD292" s="10"/>
      <c r="AE292" s="11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1"/>
      <c r="J293" s="11"/>
      <c r="K293" s="10"/>
      <c r="L293" s="10"/>
      <c r="M293" s="10"/>
      <c r="N293" s="10"/>
      <c r="O293" s="10"/>
      <c r="P293" s="10"/>
      <c r="Q293" s="10"/>
      <c r="R293" s="10"/>
      <c r="S293" s="10" t="str">
        <f t="shared" si="1"/>
        <v/>
      </c>
      <c r="T293" s="12" t="str">
        <f t="shared" si="2"/>
        <v/>
      </c>
      <c r="U293" s="10" t="str">
        <f t="shared" si="3"/>
        <v/>
      </c>
      <c r="V293" s="10"/>
      <c r="W293" s="10"/>
      <c r="X293" s="10"/>
      <c r="Y293" s="13" t="str">
        <f t="shared" si="4"/>
        <v/>
      </c>
      <c r="Z293" s="10" t="str">
        <f t="shared" si="5"/>
        <v/>
      </c>
      <c r="AA293" s="10"/>
      <c r="AB293" s="10"/>
      <c r="AC293" s="10"/>
      <c r="AD293" s="10"/>
      <c r="AE293" s="11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1"/>
      <c r="J294" s="11"/>
      <c r="K294" s="10"/>
      <c r="L294" s="10"/>
      <c r="M294" s="10"/>
      <c r="N294" s="10"/>
      <c r="O294" s="10"/>
      <c r="P294" s="10"/>
      <c r="Q294" s="10"/>
      <c r="R294" s="10"/>
      <c r="S294" s="10" t="str">
        <f t="shared" si="1"/>
        <v/>
      </c>
      <c r="T294" s="12" t="str">
        <f t="shared" si="2"/>
        <v/>
      </c>
      <c r="U294" s="10" t="str">
        <f t="shared" si="3"/>
        <v/>
      </c>
      <c r="V294" s="10"/>
      <c r="W294" s="10"/>
      <c r="X294" s="10"/>
      <c r="Y294" s="13" t="str">
        <f t="shared" si="4"/>
        <v/>
      </c>
      <c r="Z294" s="10" t="str">
        <f t="shared" si="5"/>
        <v/>
      </c>
      <c r="AA294" s="10"/>
      <c r="AB294" s="10"/>
      <c r="AC294" s="10"/>
      <c r="AD294" s="10"/>
      <c r="AE294" s="11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1"/>
      <c r="J295" s="11"/>
      <c r="K295" s="10"/>
      <c r="L295" s="10"/>
      <c r="M295" s="10"/>
      <c r="N295" s="10"/>
      <c r="O295" s="10"/>
      <c r="P295" s="10"/>
      <c r="Q295" s="10"/>
      <c r="R295" s="10"/>
      <c r="S295" s="10" t="str">
        <f t="shared" si="1"/>
        <v/>
      </c>
      <c r="T295" s="12" t="str">
        <f t="shared" si="2"/>
        <v/>
      </c>
      <c r="U295" s="10" t="str">
        <f t="shared" si="3"/>
        <v/>
      </c>
      <c r="V295" s="10"/>
      <c r="W295" s="10"/>
      <c r="X295" s="10"/>
      <c r="Y295" s="13" t="str">
        <f t="shared" si="4"/>
        <v/>
      </c>
      <c r="Z295" s="10" t="str">
        <f t="shared" si="5"/>
        <v/>
      </c>
      <c r="AA295" s="10"/>
      <c r="AB295" s="10"/>
      <c r="AC295" s="10"/>
      <c r="AD295" s="10"/>
      <c r="AE295" s="11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1"/>
      <c r="J296" s="11"/>
      <c r="K296" s="10"/>
      <c r="L296" s="10"/>
      <c r="M296" s="10"/>
      <c r="N296" s="10"/>
      <c r="O296" s="10"/>
      <c r="P296" s="10"/>
      <c r="Q296" s="10"/>
      <c r="R296" s="10"/>
      <c r="S296" s="10" t="str">
        <f t="shared" si="1"/>
        <v/>
      </c>
      <c r="T296" s="12" t="str">
        <f t="shared" si="2"/>
        <v/>
      </c>
      <c r="U296" s="10" t="str">
        <f t="shared" si="3"/>
        <v/>
      </c>
      <c r="V296" s="10"/>
      <c r="W296" s="10"/>
      <c r="X296" s="10"/>
      <c r="Y296" s="13" t="str">
        <f t="shared" si="4"/>
        <v/>
      </c>
      <c r="Z296" s="10" t="str">
        <f t="shared" si="5"/>
        <v/>
      </c>
      <c r="AA296" s="10"/>
      <c r="AB296" s="10"/>
      <c r="AC296" s="10"/>
      <c r="AD296" s="10"/>
      <c r="AE296" s="11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1"/>
      <c r="J297" s="11"/>
      <c r="K297" s="10"/>
      <c r="L297" s="10"/>
      <c r="M297" s="10"/>
      <c r="N297" s="10"/>
      <c r="O297" s="10"/>
      <c r="P297" s="10"/>
      <c r="Q297" s="10"/>
      <c r="R297" s="10"/>
      <c r="S297" s="10" t="str">
        <f t="shared" si="1"/>
        <v/>
      </c>
      <c r="T297" s="12" t="str">
        <f t="shared" si="2"/>
        <v/>
      </c>
      <c r="U297" s="10" t="str">
        <f t="shared" si="3"/>
        <v/>
      </c>
      <c r="V297" s="10"/>
      <c r="W297" s="10"/>
      <c r="X297" s="10"/>
      <c r="Y297" s="13" t="str">
        <f t="shared" si="4"/>
        <v/>
      </c>
      <c r="Z297" s="10" t="str">
        <f t="shared" si="5"/>
        <v/>
      </c>
      <c r="AA297" s="10"/>
      <c r="AB297" s="10"/>
      <c r="AC297" s="10"/>
      <c r="AD297" s="10"/>
      <c r="AE297" s="11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1"/>
      <c r="J298" s="11"/>
      <c r="K298" s="10"/>
      <c r="L298" s="10"/>
      <c r="M298" s="10"/>
      <c r="N298" s="10"/>
      <c r="O298" s="10"/>
      <c r="P298" s="10"/>
      <c r="Q298" s="10"/>
      <c r="R298" s="10"/>
      <c r="S298" s="10" t="str">
        <f t="shared" si="1"/>
        <v/>
      </c>
      <c r="T298" s="12" t="str">
        <f t="shared" si="2"/>
        <v/>
      </c>
      <c r="U298" s="10" t="str">
        <f t="shared" si="3"/>
        <v/>
      </c>
      <c r="V298" s="10"/>
      <c r="W298" s="10"/>
      <c r="X298" s="10"/>
      <c r="Y298" s="13" t="str">
        <f t="shared" si="4"/>
        <v/>
      </c>
      <c r="Z298" s="10" t="str">
        <f t="shared" si="5"/>
        <v/>
      </c>
      <c r="AA298" s="10"/>
      <c r="AB298" s="10"/>
      <c r="AC298" s="10"/>
      <c r="AD298" s="10"/>
      <c r="AE298" s="11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1"/>
      <c r="J299" s="11"/>
      <c r="K299" s="10"/>
      <c r="L299" s="10"/>
      <c r="M299" s="10"/>
      <c r="N299" s="10"/>
      <c r="O299" s="10"/>
      <c r="P299" s="10"/>
      <c r="Q299" s="10"/>
      <c r="R299" s="10"/>
      <c r="S299" s="10" t="str">
        <f t="shared" si="1"/>
        <v/>
      </c>
      <c r="T299" s="12" t="str">
        <f t="shared" si="2"/>
        <v/>
      </c>
      <c r="U299" s="10" t="str">
        <f t="shared" si="3"/>
        <v/>
      </c>
      <c r="V299" s="10"/>
      <c r="W299" s="10"/>
      <c r="X299" s="10"/>
      <c r="Y299" s="13" t="str">
        <f t="shared" si="4"/>
        <v/>
      </c>
      <c r="Z299" s="10" t="str">
        <f t="shared" si="5"/>
        <v/>
      </c>
      <c r="AA299" s="10"/>
      <c r="AB299" s="10"/>
      <c r="AC299" s="10"/>
      <c r="AD299" s="10"/>
      <c r="AE299" s="11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1"/>
      <c r="J300" s="11"/>
      <c r="K300" s="10"/>
      <c r="L300" s="10"/>
      <c r="M300" s="10"/>
      <c r="N300" s="10"/>
      <c r="O300" s="10"/>
      <c r="P300" s="10"/>
      <c r="Q300" s="10"/>
      <c r="R300" s="10"/>
      <c r="S300" s="10" t="str">
        <f t="shared" si="1"/>
        <v/>
      </c>
      <c r="T300" s="12" t="str">
        <f t="shared" si="2"/>
        <v/>
      </c>
      <c r="U300" s="10" t="str">
        <f t="shared" si="3"/>
        <v/>
      </c>
      <c r="V300" s="10"/>
      <c r="W300" s="10"/>
      <c r="X300" s="10"/>
      <c r="Y300" s="13" t="str">
        <f t="shared" si="4"/>
        <v/>
      </c>
      <c r="Z300" s="10" t="str">
        <f t="shared" si="5"/>
        <v/>
      </c>
      <c r="AA300" s="10"/>
      <c r="AB300" s="10"/>
      <c r="AC300" s="10"/>
      <c r="AD300" s="10"/>
      <c r="AE300" s="11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1"/>
      <c r="J301" s="11"/>
      <c r="K301" s="10"/>
      <c r="L301" s="10"/>
      <c r="M301" s="10"/>
      <c r="N301" s="10"/>
      <c r="O301" s="10"/>
      <c r="P301" s="10"/>
      <c r="Q301" s="10"/>
      <c r="R301" s="10"/>
      <c r="S301" s="10" t="str">
        <f t="shared" si="1"/>
        <v/>
      </c>
      <c r="T301" s="12" t="str">
        <f t="shared" si="2"/>
        <v/>
      </c>
      <c r="U301" s="10" t="str">
        <f t="shared" si="3"/>
        <v/>
      </c>
      <c r="V301" s="10"/>
      <c r="W301" s="10"/>
      <c r="X301" s="10"/>
      <c r="Y301" s="13" t="str">
        <f t="shared" si="4"/>
        <v/>
      </c>
      <c r="Z301" s="10" t="str">
        <f t="shared" si="5"/>
        <v/>
      </c>
      <c r="AA301" s="10"/>
      <c r="AB301" s="10"/>
      <c r="AC301" s="10"/>
      <c r="AD301" s="10"/>
      <c r="AE301" s="11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1"/>
      <c r="J302" s="11"/>
      <c r="K302" s="10"/>
      <c r="L302" s="10"/>
      <c r="M302" s="10"/>
      <c r="N302" s="10"/>
      <c r="O302" s="10"/>
      <c r="P302" s="10"/>
      <c r="Q302" s="10"/>
      <c r="R302" s="10"/>
      <c r="S302" s="10" t="str">
        <f t="shared" si="1"/>
        <v/>
      </c>
      <c r="T302" s="12" t="str">
        <f t="shared" si="2"/>
        <v/>
      </c>
      <c r="U302" s="10" t="str">
        <f t="shared" si="3"/>
        <v/>
      </c>
      <c r="V302" s="10"/>
      <c r="W302" s="10"/>
      <c r="X302" s="10"/>
      <c r="Y302" s="13" t="str">
        <f t="shared" si="4"/>
        <v/>
      </c>
      <c r="Z302" s="10" t="str">
        <f t="shared" si="5"/>
        <v/>
      </c>
      <c r="AA302" s="10"/>
      <c r="AB302" s="10"/>
      <c r="AC302" s="10"/>
      <c r="AD302" s="10"/>
      <c r="AE302" s="11"/>
    </row>
    <row r="303" ht="15.75" customHeight="1">
      <c r="M303" s="14"/>
      <c r="R303" s="14"/>
    </row>
    <row r="304" ht="15.75" customHeight="1">
      <c r="M304" s="14"/>
      <c r="R304" s="14"/>
    </row>
    <row r="305" ht="15.75" customHeight="1">
      <c r="M305" s="14"/>
      <c r="R305" s="14"/>
    </row>
    <row r="306" ht="15.75" customHeight="1">
      <c r="M306" s="14"/>
      <c r="R306" s="14"/>
    </row>
    <row r="307" ht="15.75" customHeight="1">
      <c r="M307" s="14"/>
      <c r="R307" s="14"/>
    </row>
    <row r="308" ht="15.75" customHeight="1">
      <c r="M308" s="14"/>
      <c r="R308" s="14"/>
    </row>
    <row r="309" ht="15.75" customHeight="1">
      <c r="M309" s="14"/>
      <c r="R309" s="14"/>
    </row>
    <row r="310" ht="15.75" customHeight="1">
      <c r="M310" s="14"/>
      <c r="R310" s="14"/>
    </row>
    <row r="311" ht="15.75" customHeight="1">
      <c r="M311" s="14"/>
      <c r="R311" s="14"/>
    </row>
    <row r="312" ht="15.75" customHeight="1">
      <c r="M312" s="14"/>
      <c r="R312" s="14"/>
    </row>
    <row r="313" ht="15.75" customHeight="1">
      <c r="M313" s="14"/>
      <c r="R313" s="14"/>
    </row>
    <row r="314" ht="15.75" customHeight="1">
      <c r="M314" s="14"/>
      <c r="R314" s="14"/>
    </row>
    <row r="315" ht="15.75" customHeight="1">
      <c r="M315" s="14"/>
      <c r="R315" s="14"/>
    </row>
    <row r="316" ht="15.75" customHeight="1">
      <c r="M316" s="14"/>
      <c r="R316" s="14"/>
    </row>
    <row r="317" ht="15.75" customHeight="1">
      <c r="M317" s="14"/>
      <c r="R317" s="14"/>
    </row>
    <row r="318" ht="15.75" customHeight="1">
      <c r="M318" s="14"/>
      <c r="R318" s="14"/>
    </row>
    <row r="319" ht="15.75" customHeight="1">
      <c r="M319" s="14"/>
      <c r="R319" s="14"/>
    </row>
    <row r="320" ht="15.75" customHeight="1">
      <c r="M320" s="14"/>
      <c r="R320" s="14"/>
    </row>
    <row r="321" ht="15.75" customHeight="1">
      <c r="M321" s="14"/>
      <c r="R321" s="14"/>
    </row>
    <row r="322" ht="15.75" customHeight="1">
      <c r="M322" s="14"/>
      <c r="R322" s="14"/>
    </row>
    <row r="323" ht="15.75" customHeight="1">
      <c r="M323" s="14"/>
      <c r="R323" s="14"/>
    </row>
    <row r="324" ht="15.75" customHeight="1">
      <c r="M324" s="14"/>
      <c r="R324" s="14"/>
    </row>
    <row r="325" ht="15.75" customHeight="1">
      <c r="M325" s="14"/>
      <c r="R325" s="14"/>
    </row>
    <row r="326" ht="15.75" customHeight="1">
      <c r="M326" s="14"/>
      <c r="R326" s="14"/>
    </row>
    <row r="327" ht="15.75" customHeight="1">
      <c r="M327" s="14"/>
      <c r="R327" s="14"/>
    </row>
    <row r="328" ht="15.75" customHeight="1">
      <c r="M328" s="14"/>
      <c r="R328" s="14"/>
    </row>
    <row r="329" ht="15.75" customHeight="1">
      <c r="M329" s="14"/>
      <c r="R329" s="14"/>
    </row>
    <row r="330" ht="15.75" customHeight="1">
      <c r="M330" s="14"/>
      <c r="R330" s="14"/>
    </row>
    <row r="331" ht="15.75" customHeight="1">
      <c r="M331" s="14"/>
      <c r="R331" s="14"/>
    </row>
    <row r="332" ht="15.75" customHeight="1">
      <c r="M332" s="14"/>
      <c r="R332" s="14"/>
    </row>
    <row r="333" ht="15.75" customHeight="1">
      <c r="M333" s="14"/>
      <c r="R333" s="14"/>
    </row>
    <row r="334" ht="15.75" customHeight="1">
      <c r="M334" s="14"/>
      <c r="R334" s="14"/>
    </row>
    <row r="335" ht="15.75" customHeight="1">
      <c r="M335" s="14"/>
      <c r="R335" s="14"/>
    </row>
    <row r="336" ht="15.75" customHeight="1">
      <c r="M336" s="14"/>
      <c r="R336" s="14"/>
    </row>
    <row r="337" ht="15.75" customHeight="1">
      <c r="M337" s="14"/>
      <c r="R337" s="14"/>
    </row>
    <row r="338" ht="15.75" customHeight="1">
      <c r="M338" s="14"/>
      <c r="R338" s="14"/>
    </row>
    <row r="339" ht="15.75" customHeight="1">
      <c r="M339" s="14"/>
      <c r="R339" s="14"/>
    </row>
    <row r="340" ht="15.75" customHeight="1">
      <c r="M340" s="14"/>
      <c r="R340" s="14"/>
    </row>
    <row r="341" ht="15.75" customHeight="1">
      <c r="M341" s="14"/>
      <c r="R341" s="14"/>
    </row>
    <row r="342" ht="15.75" customHeight="1">
      <c r="M342" s="14"/>
      <c r="R342" s="14"/>
    </row>
    <row r="343" ht="15.75" customHeight="1">
      <c r="M343" s="14"/>
      <c r="R343" s="14"/>
    </row>
    <row r="344" ht="15.75" customHeight="1">
      <c r="M344" s="14"/>
      <c r="R344" s="14"/>
    </row>
    <row r="345" ht="15.75" customHeight="1">
      <c r="M345" s="14"/>
      <c r="R345" s="14"/>
    </row>
    <row r="346" ht="15.75" customHeight="1">
      <c r="M346" s="14"/>
      <c r="R346" s="14"/>
    </row>
    <row r="347" ht="15.75" customHeight="1">
      <c r="M347" s="14"/>
      <c r="R347" s="14"/>
    </row>
    <row r="348" ht="15.75" customHeight="1">
      <c r="M348" s="14"/>
      <c r="R348" s="14"/>
    </row>
    <row r="349" ht="15.75" customHeight="1">
      <c r="M349" s="14"/>
      <c r="R349" s="14"/>
    </row>
    <row r="350" ht="15.75" customHeight="1">
      <c r="M350" s="14"/>
      <c r="R350" s="14"/>
    </row>
    <row r="351" ht="15.75" customHeight="1">
      <c r="M351" s="14"/>
      <c r="R351" s="14"/>
    </row>
    <row r="352" ht="15.75" customHeight="1">
      <c r="M352" s="14"/>
      <c r="R352" s="14"/>
    </row>
    <row r="353" ht="15.75" customHeight="1">
      <c r="M353" s="14"/>
      <c r="R353" s="14"/>
    </row>
    <row r="354" ht="15.75" customHeight="1">
      <c r="M354" s="14"/>
      <c r="R354" s="14"/>
    </row>
    <row r="355" ht="15.75" customHeight="1">
      <c r="M355" s="14"/>
      <c r="R355" s="14"/>
    </row>
    <row r="356" ht="15.75" customHeight="1">
      <c r="M356" s="14"/>
      <c r="R356" s="14"/>
    </row>
    <row r="357" ht="15.75" customHeight="1">
      <c r="M357" s="14"/>
      <c r="R357" s="14"/>
    </row>
    <row r="358" ht="15.75" customHeight="1">
      <c r="M358" s="14"/>
      <c r="R358" s="14"/>
    </row>
    <row r="359" ht="15.75" customHeight="1">
      <c r="M359" s="14"/>
      <c r="R359" s="14"/>
    </row>
    <row r="360" ht="15.75" customHeight="1">
      <c r="M360" s="14"/>
      <c r="R360" s="14"/>
    </row>
    <row r="361" ht="15.75" customHeight="1">
      <c r="M361" s="14"/>
      <c r="R361" s="14"/>
    </row>
    <row r="362" ht="15.75" customHeight="1">
      <c r="M362" s="14"/>
      <c r="R362" s="14"/>
    </row>
    <row r="363" ht="15.75" customHeight="1">
      <c r="M363" s="14"/>
      <c r="R363" s="14"/>
    </row>
    <row r="364" ht="15.75" customHeight="1">
      <c r="M364" s="14"/>
      <c r="R364" s="14"/>
    </row>
    <row r="365" ht="15.75" customHeight="1">
      <c r="M365" s="14"/>
      <c r="R365" s="14"/>
    </row>
    <row r="366" ht="15.75" customHeight="1">
      <c r="M366" s="14"/>
      <c r="R366" s="14"/>
    </row>
    <row r="367" ht="15.75" customHeight="1">
      <c r="M367" s="14"/>
      <c r="R367" s="14"/>
    </row>
    <row r="368" ht="15.75" customHeight="1">
      <c r="M368" s="14"/>
      <c r="R368" s="14"/>
    </row>
    <row r="369" ht="15.75" customHeight="1">
      <c r="M369" s="14"/>
      <c r="R369" s="14"/>
    </row>
    <row r="370" ht="15.75" customHeight="1">
      <c r="M370" s="14"/>
      <c r="R370" s="14"/>
    </row>
    <row r="371" ht="15.75" customHeight="1">
      <c r="M371" s="14"/>
      <c r="R371" s="14"/>
    </row>
    <row r="372" ht="15.75" customHeight="1">
      <c r="M372" s="14"/>
      <c r="R372" s="14"/>
    </row>
    <row r="373" ht="15.75" customHeight="1">
      <c r="M373" s="14"/>
      <c r="R373" s="14"/>
    </row>
    <row r="374" ht="15.75" customHeight="1">
      <c r="M374" s="14"/>
      <c r="R374" s="14"/>
    </row>
    <row r="375" ht="15.75" customHeight="1">
      <c r="M375" s="14"/>
      <c r="R375" s="14"/>
    </row>
    <row r="376" ht="15.75" customHeight="1">
      <c r="M376" s="14"/>
      <c r="R376" s="14"/>
    </row>
    <row r="377" ht="15.75" customHeight="1">
      <c r="M377" s="14"/>
      <c r="R377" s="14"/>
    </row>
    <row r="378" ht="15.75" customHeight="1">
      <c r="M378" s="14"/>
      <c r="R378" s="14"/>
    </row>
    <row r="379" ht="15.75" customHeight="1">
      <c r="M379" s="14"/>
      <c r="R379" s="14"/>
    </row>
    <row r="380" ht="15.75" customHeight="1">
      <c r="M380" s="14"/>
      <c r="R380" s="14"/>
    </row>
    <row r="381" ht="15.75" customHeight="1">
      <c r="M381" s="14"/>
      <c r="R381" s="14"/>
    </row>
    <row r="382" ht="15.75" customHeight="1">
      <c r="M382" s="14"/>
      <c r="R382" s="14"/>
    </row>
    <row r="383" ht="15.75" customHeight="1">
      <c r="M383" s="14"/>
      <c r="R383" s="14"/>
    </row>
    <row r="384" ht="15.75" customHeight="1">
      <c r="M384" s="14"/>
      <c r="R384" s="14"/>
    </row>
    <row r="385" ht="15.75" customHeight="1">
      <c r="M385" s="14"/>
      <c r="R385" s="14"/>
    </row>
    <row r="386" ht="15.75" customHeight="1">
      <c r="M386" s="14"/>
      <c r="R386" s="14"/>
    </row>
    <row r="387" ht="15.75" customHeight="1">
      <c r="M387" s="14"/>
      <c r="R387" s="14"/>
    </row>
    <row r="388" ht="15.75" customHeight="1">
      <c r="M388" s="14"/>
      <c r="R388" s="14"/>
    </row>
    <row r="389" ht="15.75" customHeight="1">
      <c r="M389" s="14"/>
      <c r="R389" s="14"/>
    </row>
    <row r="390" ht="15.75" customHeight="1">
      <c r="M390" s="14"/>
      <c r="R390" s="14"/>
    </row>
    <row r="391" ht="15.75" customHeight="1">
      <c r="M391" s="14"/>
      <c r="R391" s="14"/>
    </row>
    <row r="392" ht="15.75" customHeight="1">
      <c r="M392" s="14"/>
      <c r="R392" s="14"/>
    </row>
    <row r="393" ht="15.75" customHeight="1">
      <c r="M393" s="14"/>
      <c r="R393" s="14"/>
    </row>
    <row r="394" ht="15.75" customHeight="1">
      <c r="M394" s="14"/>
      <c r="R394" s="14"/>
    </row>
    <row r="395" ht="15.75" customHeight="1">
      <c r="M395" s="14"/>
      <c r="R395" s="14"/>
    </row>
    <row r="396" ht="15.75" customHeight="1">
      <c r="M396" s="14"/>
      <c r="R396" s="14"/>
    </row>
    <row r="397" ht="15.75" customHeight="1">
      <c r="M397" s="14"/>
      <c r="R397" s="14"/>
    </row>
    <row r="398" ht="15.75" customHeight="1">
      <c r="M398" s="14"/>
      <c r="R398" s="14"/>
    </row>
    <row r="399" ht="15.75" customHeight="1">
      <c r="M399" s="14"/>
      <c r="R399" s="14"/>
    </row>
    <row r="400" ht="15.75" customHeight="1">
      <c r="M400" s="14"/>
      <c r="R400" s="14"/>
    </row>
    <row r="401" ht="15.75" customHeight="1">
      <c r="M401" s="14"/>
      <c r="R401" s="14"/>
    </row>
    <row r="402" ht="15.75" customHeight="1">
      <c r="M402" s="14"/>
      <c r="R402" s="14"/>
    </row>
    <row r="403" ht="15.75" customHeight="1">
      <c r="M403" s="14"/>
      <c r="R403" s="14"/>
    </row>
    <row r="404" ht="15.75" customHeight="1">
      <c r="M404" s="14"/>
      <c r="R404" s="14"/>
    </row>
    <row r="405" ht="15.75" customHeight="1">
      <c r="M405" s="14"/>
      <c r="R405" s="14"/>
    </row>
    <row r="406" ht="15.75" customHeight="1">
      <c r="M406" s="14"/>
      <c r="R406" s="14"/>
    </row>
    <row r="407" ht="15.75" customHeight="1">
      <c r="M407" s="14"/>
      <c r="R407" s="14"/>
    </row>
    <row r="408" ht="15.75" customHeight="1">
      <c r="M408" s="14"/>
      <c r="R408" s="14"/>
    </row>
    <row r="409" ht="15.75" customHeight="1">
      <c r="M409" s="14"/>
      <c r="R409" s="14"/>
    </row>
    <row r="410" ht="15.75" customHeight="1">
      <c r="M410" s="14"/>
      <c r="R410" s="14"/>
    </row>
    <row r="411" ht="15.75" customHeight="1">
      <c r="M411" s="14"/>
      <c r="R411" s="14"/>
    </row>
    <row r="412" ht="15.75" customHeight="1">
      <c r="M412" s="14"/>
      <c r="R412" s="14"/>
    </row>
    <row r="413" ht="15.75" customHeight="1">
      <c r="M413" s="14"/>
      <c r="R413" s="14"/>
    </row>
    <row r="414" ht="15.75" customHeight="1">
      <c r="M414" s="14"/>
      <c r="R414" s="14"/>
    </row>
    <row r="415" ht="15.75" customHeight="1">
      <c r="M415" s="14"/>
      <c r="R415" s="14"/>
    </row>
    <row r="416" ht="15.75" customHeight="1">
      <c r="M416" s="14"/>
      <c r="R416" s="14"/>
    </row>
    <row r="417" ht="15.75" customHeight="1">
      <c r="M417" s="14"/>
      <c r="R417" s="14"/>
    </row>
    <row r="418" ht="15.75" customHeight="1">
      <c r="M418" s="14"/>
      <c r="R418" s="14"/>
    </row>
    <row r="419" ht="15.75" customHeight="1">
      <c r="M419" s="14"/>
      <c r="R419" s="14"/>
    </row>
    <row r="420" ht="15.75" customHeight="1">
      <c r="M420" s="14"/>
      <c r="R420" s="14"/>
    </row>
    <row r="421" ht="15.75" customHeight="1">
      <c r="M421" s="14"/>
      <c r="R421" s="14"/>
    </row>
    <row r="422" ht="15.75" customHeight="1">
      <c r="M422" s="14"/>
      <c r="R422" s="14"/>
    </row>
    <row r="423" ht="15.75" customHeight="1">
      <c r="M423" s="14"/>
      <c r="R423" s="14"/>
    </row>
    <row r="424" ht="15.75" customHeight="1">
      <c r="M424" s="14"/>
      <c r="R424" s="14"/>
    </row>
    <row r="425" ht="15.75" customHeight="1">
      <c r="M425" s="14"/>
      <c r="R425" s="14"/>
    </row>
    <row r="426" ht="15.75" customHeight="1">
      <c r="M426" s="14"/>
      <c r="R426" s="14"/>
    </row>
    <row r="427" ht="15.75" customHeight="1">
      <c r="M427" s="14"/>
      <c r="R427" s="14"/>
    </row>
    <row r="428" ht="15.75" customHeight="1">
      <c r="M428" s="14"/>
      <c r="R428" s="14"/>
    </row>
    <row r="429" ht="15.75" customHeight="1">
      <c r="M429" s="14"/>
      <c r="R429" s="14"/>
    </row>
    <row r="430" ht="15.75" customHeight="1">
      <c r="M430" s="14"/>
      <c r="R430" s="14"/>
    </row>
    <row r="431" ht="15.75" customHeight="1">
      <c r="M431" s="14"/>
      <c r="R431" s="14"/>
    </row>
    <row r="432" ht="15.75" customHeight="1">
      <c r="M432" s="14"/>
      <c r="R432" s="14"/>
    </row>
    <row r="433" ht="15.75" customHeight="1">
      <c r="M433" s="14"/>
      <c r="R433" s="14"/>
    </row>
    <row r="434" ht="15.75" customHeight="1">
      <c r="M434" s="14"/>
      <c r="R434" s="14"/>
    </row>
    <row r="435" ht="15.75" customHeight="1">
      <c r="M435" s="14"/>
      <c r="R435" s="14"/>
    </row>
    <row r="436" ht="15.75" customHeight="1">
      <c r="M436" s="14"/>
      <c r="R436" s="14"/>
    </row>
    <row r="437" ht="15.75" customHeight="1">
      <c r="M437" s="14"/>
      <c r="R437" s="14"/>
    </row>
    <row r="438" ht="15.75" customHeight="1">
      <c r="M438" s="14"/>
      <c r="R438" s="14"/>
    </row>
    <row r="439" ht="15.75" customHeight="1">
      <c r="M439" s="14"/>
      <c r="R439" s="14"/>
    </row>
    <row r="440" ht="15.75" customHeight="1">
      <c r="M440" s="14"/>
      <c r="R440" s="14"/>
    </row>
    <row r="441" ht="15.75" customHeight="1">
      <c r="M441" s="14"/>
      <c r="R441" s="14"/>
    </row>
    <row r="442" ht="15.75" customHeight="1">
      <c r="M442" s="14"/>
      <c r="R442" s="14"/>
    </row>
    <row r="443" ht="15.75" customHeight="1">
      <c r="M443" s="14"/>
      <c r="R443" s="14"/>
    </row>
    <row r="444" ht="15.75" customHeight="1">
      <c r="M444" s="14"/>
      <c r="R444" s="14"/>
    </row>
    <row r="445" ht="15.75" customHeight="1">
      <c r="M445" s="14"/>
      <c r="R445" s="14"/>
    </row>
    <row r="446" ht="15.75" customHeight="1">
      <c r="M446" s="14"/>
      <c r="R446" s="14"/>
    </row>
    <row r="447" ht="15.75" customHeight="1">
      <c r="M447" s="14"/>
      <c r="R447" s="14"/>
    </row>
    <row r="448" ht="15.75" customHeight="1">
      <c r="M448" s="14"/>
      <c r="R448" s="14"/>
    </row>
    <row r="449" ht="15.75" customHeight="1">
      <c r="M449" s="14"/>
      <c r="R449" s="14"/>
    </row>
    <row r="450" ht="15.75" customHeight="1">
      <c r="M450" s="14"/>
      <c r="R450" s="14"/>
    </row>
    <row r="451" ht="15.75" customHeight="1">
      <c r="M451" s="14"/>
      <c r="R451" s="14"/>
    </row>
    <row r="452" ht="15.75" customHeight="1">
      <c r="M452" s="14"/>
      <c r="R452" s="14"/>
    </row>
    <row r="453" ht="15.75" customHeight="1">
      <c r="M453" s="14"/>
      <c r="R453" s="14"/>
    </row>
    <row r="454" ht="15.75" customHeight="1">
      <c r="M454" s="14"/>
      <c r="R454" s="14"/>
    </row>
    <row r="455" ht="15.75" customHeight="1">
      <c r="M455" s="14"/>
      <c r="R455" s="14"/>
    </row>
    <row r="456" ht="15.75" customHeight="1">
      <c r="M456" s="14"/>
      <c r="R456" s="14"/>
    </row>
    <row r="457" ht="15.75" customHeight="1">
      <c r="M457" s="14"/>
      <c r="R457" s="14"/>
    </row>
    <row r="458" ht="15.75" customHeight="1">
      <c r="M458" s="14"/>
      <c r="R458" s="14"/>
    </row>
    <row r="459" ht="15.75" customHeight="1">
      <c r="M459" s="14"/>
      <c r="R459" s="14"/>
    </row>
    <row r="460" ht="15.75" customHeight="1">
      <c r="M460" s="14"/>
      <c r="R460" s="14"/>
    </row>
    <row r="461" ht="15.75" customHeight="1">
      <c r="M461" s="14"/>
      <c r="R461" s="14"/>
    </row>
    <row r="462" ht="15.75" customHeight="1">
      <c r="M462" s="14"/>
      <c r="R462" s="14"/>
    </row>
    <row r="463" ht="15.75" customHeight="1">
      <c r="M463" s="14"/>
      <c r="R463" s="14"/>
    </row>
    <row r="464" ht="15.75" customHeight="1">
      <c r="M464" s="14"/>
      <c r="R464" s="14"/>
    </row>
    <row r="465" ht="15.75" customHeight="1">
      <c r="M465" s="14"/>
      <c r="R465" s="14"/>
    </row>
    <row r="466" ht="15.75" customHeight="1">
      <c r="M466" s="14"/>
      <c r="R466" s="14"/>
    </row>
    <row r="467" ht="15.75" customHeight="1">
      <c r="M467" s="14"/>
      <c r="R467" s="14"/>
    </row>
    <row r="468" ht="15.75" customHeight="1">
      <c r="M468" s="14"/>
      <c r="R468" s="14"/>
    </row>
    <row r="469" ht="15.75" customHeight="1">
      <c r="M469" s="14"/>
      <c r="R469" s="14"/>
    </row>
    <row r="470" ht="15.75" customHeight="1">
      <c r="M470" s="14"/>
      <c r="R470" s="14"/>
    </row>
    <row r="471" ht="15.75" customHeight="1">
      <c r="M471" s="14"/>
      <c r="R471" s="14"/>
    </row>
    <row r="472" ht="15.75" customHeight="1">
      <c r="M472" s="14"/>
      <c r="R472" s="14"/>
    </row>
    <row r="473" ht="15.75" customHeight="1">
      <c r="M473" s="14"/>
      <c r="R473" s="14"/>
    </row>
    <row r="474" ht="15.75" customHeight="1">
      <c r="M474" s="14"/>
      <c r="R474" s="14"/>
    </row>
    <row r="475" ht="15.75" customHeight="1">
      <c r="M475" s="14"/>
      <c r="R475" s="14"/>
    </row>
    <row r="476" ht="15.75" customHeight="1">
      <c r="M476" s="14"/>
      <c r="R476" s="14"/>
    </row>
    <row r="477" ht="15.75" customHeight="1">
      <c r="M477" s="14"/>
      <c r="R477" s="14"/>
    </row>
    <row r="478" ht="15.75" customHeight="1">
      <c r="M478" s="14"/>
      <c r="R478" s="14"/>
    </row>
    <row r="479" ht="15.75" customHeight="1">
      <c r="M479" s="14"/>
      <c r="R479" s="14"/>
    </row>
    <row r="480" ht="15.75" customHeight="1">
      <c r="M480" s="14"/>
      <c r="R480" s="14"/>
    </row>
    <row r="481" ht="15.75" customHeight="1">
      <c r="M481" s="14"/>
      <c r="R481" s="14"/>
    </row>
    <row r="482" ht="15.75" customHeight="1">
      <c r="M482" s="14"/>
      <c r="R482" s="14"/>
    </row>
    <row r="483" ht="15.75" customHeight="1">
      <c r="M483" s="14"/>
      <c r="R483" s="14"/>
    </row>
    <row r="484" ht="15.75" customHeight="1">
      <c r="M484" s="14"/>
      <c r="R484" s="14"/>
    </row>
    <row r="485" ht="15.75" customHeight="1">
      <c r="M485" s="14"/>
      <c r="R485" s="14"/>
    </row>
    <row r="486" ht="15.75" customHeight="1">
      <c r="M486" s="14"/>
      <c r="R486" s="14"/>
    </row>
    <row r="487" ht="15.75" customHeight="1">
      <c r="M487" s="14"/>
      <c r="R487" s="14"/>
    </row>
    <row r="488" ht="15.75" customHeight="1">
      <c r="M488" s="14"/>
      <c r="R488" s="14"/>
    </row>
    <row r="489" ht="15.75" customHeight="1">
      <c r="M489" s="14"/>
      <c r="R489" s="14"/>
    </row>
    <row r="490" ht="15.75" customHeight="1">
      <c r="M490" s="14"/>
      <c r="R490" s="14"/>
    </row>
    <row r="491" ht="15.75" customHeight="1">
      <c r="M491" s="14"/>
      <c r="R491" s="14"/>
    </row>
    <row r="492" ht="15.75" customHeight="1">
      <c r="M492" s="14"/>
      <c r="R492" s="14"/>
    </row>
    <row r="493" ht="15.75" customHeight="1">
      <c r="M493" s="14"/>
      <c r="R493" s="14"/>
    </row>
    <row r="494" ht="15.75" customHeight="1">
      <c r="M494" s="14"/>
      <c r="R494" s="14"/>
    </row>
    <row r="495" ht="15.75" customHeight="1">
      <c r="M495" s="14"/>
      <c r="R495" s="14"/>
    </row>
    <row r="496" ht="15.75" customHeight="1">
      <c r="M496" s="14"/>
      <c r="R496" s="14"/>
    </row>
    <row r="497" ht="15.75" customHeight="1">
      <c r="M497" s="14"/>
      <c r="R497" s="14"/>
    </row>
    <row r="498" ht="15.75" customHeight="1">
      <c r="M498" s="14"/>
      <c r="R498" s="14"/>
    </row>
    <row r="499" ht="15.75" customHeight="1">
      <c r="M499" s="14"/>
      <c r="R499" s="14"/>
    </row>
    <row r="500" ht="15.75" customHeight="1">
      <c r="M500" s="14"/>
      <c r="R500" s="14"/>
    </row>
    <row r="501" ht="15.75" customHeight="1">
      <c r="M501" s="14"/>
      <c r="R501" s="14"/>
    </row>
    <row r="502" ht="15.75" customHeight="1">
      <c r="M502" s="14"/>
      <c r="R502" s="14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E1"/>
  </mergeCells>
  <conditionalFormatting sqref="U3:U302">
    <cfRule type="colorScale" priority="1">
      <colorScale>
        <cfvo type="formula" val="-30"/>
        <cfvo type="formula" val="7"/>
        <cfvo type="formula" val="30"/>
        <color rgb="FFFEE2E2"/>
        <color rgb="FFFEF3C7"/>
        <color rgb="FFDCFCE7"/>
      </colorScale>
    </cfRule>
  </conditionalFormatting>
  <conditionalFormatting sqref="S3:S302">
    <cfRule type="expression" dxfId="4" priority="2">
      <formula>$S3="Backlog"</formula>
    </cfRule>
  </conditionalFormatting>
  <conditionalFormatting sqref="S3:S302">
    <cfRule type="expression" dxfId="5" priority="3">
      <formula>$S3="Research"</formula>
    </cfRule>
  </conditionalFormatting>
  <conditionalFormatting sqref="S3:S302">
    <cfRule type="expression" dxfId="6" priority="4">
      <formula>$S3="Drafting"</formula>
    </cfRule>
  </conditionalFormatting>
  <conditionalFormatting sqref="S3:S302">
    <cfRule type="expression" dxfId="7" priority="5">
      <formula>$S3="Editing"</formula>
    </cfRule>
  </conditionalFormatting>
  <conditionalFormatting sqref="S3:S302">
    <cfRule type="expression" dxfId="8" priority="6">
      <formula>$S3="Design"</formula>
    </cfRule>
  </conditionalFormatting>
  <conditionalFormatting sqref="S3:S302">
    <cfRule type="expression" dxfId="9" priority="7">
      <formula>$S3="Scheduled"</formula>
    </cfRule>
  </conditionalFormatting>
  <conditionalFormatting sqref="S3:S302">
    <cfRule type="expression" dxfId="10" priority="8">
      <formula>$S3="Published"</formula>
    </cfRule>
  </conditionalFormatting>
  <conditionalFormatting sqref="S3:S302">
    <cfRule type="expression" dxfId="11" priority="9">
      <formula>$S3="Repurpose"</formula>
    </cfRule>
  </conditionalFormatting>
  <conditionalFormatting sqref="S3:S302">
    <cfRule type="expression" dxfId="12" priority="10">
      <formula>$S3="Distributed"</formula>
    </cfRule>
  </conditionalFormatting>
  <dataValidations>
    <dataValidation type="list" allowBlank="1" sqref="F3:F302">
      <formula1>"Blog,YouTube,Google Business Profile,Email,Social,Lead Magnet,Landing Page"</formula1>
    </dataValidation>
    <dataValidation type="list" allowBlank="1" sqref="H3:H302">
      <formula1>"High,Medium,Low"</formula1>
    </dataValidation>
    <dataValidation type="list" allowBlank="1" sqref="G3:G302">
      <formula1>"Hub,Spoke"</formula1>
    </dataValidation>
    <dataValidation type="list" allowBlank="1" sqref="K3:R302 M303:M502 R303:R502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2" width="14.0"/>
    <col customWidth="1" min="23" max="26" width="8.71"/>
  </cols>
  <sheetData>
    <row r="1" ht="27.75" customHeight="1">
      <c r="A1" s="15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3">
      <c r="A3" s="16" t="s">
        <v>86</v>
      </c>
      <c r="B3" s="3"/>
      <c r="D3" s="17" t="s">
        <v>24</v>
      </c>
      <c r="E3" s="3"/>
      <c r="G3" s="18" t="s">
        <v>87</v>
      </c>
      <c r="H3" s="3"/>
      <c r="J3" s="19" t="s">
        <v>88</v>
      </c>
      <c r="K3" s="3"/>
      <c r="M3" s="20" t="s">
        <v>27</v>
      </c>
      <c r="N3" s="3"/>
      <c r="P3" s="21" t="s">
        <v>89</v>
      </c>
      <c r="Q3" s="3"/>
      <c r="S3" s="22" t="s">
        <v>90</v>
      </c>
      <c r="T3" s="3"/>
      <c r="V3" s="23" t="s">
        <v>91</v>
      </c>
    </row>
    <row r="4">
      <c r="A4" s="24">
        <f>COUNTIF('Content Pipeline'!$S:$S,"Backlog")</f>
        <v>1</v>
      </c>
      <c r="B4" s="3"/>
      <c r="D4" s="24">
        <f>COUNTIF('Content Pipeline'!$S:$S,"Research")</f>
        <v>1</v>
      </c>
      <c r="E4" s="3"/>
      <c r="G4" s="24">
        <f>COUNTIF('Content Pipeline'!$S:$S,"Drafting")</f>
        <v>1</v>
      </c>
      <c r="H4" s="3"/>
      <c r="J4" s="24">
        <f>COUNTIF('Content Pipeline'!$S:$S,"Editing")</f>
        <v>1</v>
      </c>
      <c r="K4" s="3"/>
      <c r="M4" s="24">
        <f>COUNTIF('Content Pipeline'!$S:$S,"Design")</f>
        <v>0</v>
      </c>
      <c r="N4" s="3"/>
      <c r="P4" s="24">
        <f>COUNTIF('Content Pipeline'!$S:$S,"Scheduled")</f>
        <v>1</v>
      </c>
      <c r="Q4" s="3"/>
      <c r="S4" s="24">
        <f>COUNTIF('Content Pipeline'!$S:$S,"Published")</f>
        <v>0</v>
      </c>
      <c r="T4" s="3"/>
      <c r="V4" s="25">
        <f>COUNTIF('Content Pipeline'!$S:$S,"Distributed")</f>
        <v>0</v>
      </c>
    </row>
    <row r="6" ht="37.5" customHeight="1">
      <c r="A6" s="26"/>
      <c r="B6" s="27"/>
      <c r="D6" s="26"/>
      <c r="E6" s="27"/>
      <c r="G6" s="26"/>
      <c r="H6" s="27"/>
      <c r="J6" s="26"/>
      <c r="K6" s="27"/>
      <c r="M6" s="26"/>
      <c r="N6" s="27"/>
      <c r="P6" s="26"/>
      <c r="Q6" s="27"/>
      <c r="S6" s="26"/>
      <c r="T6" s="27"/>
      <c r="V6" s="28"/>
    </row>
    <row r="7" ht="37.5" customHeight="1">
      <c r="A7" s="26"/>
      <c r="B7" s="27"/>
      <c r="D7" s="26"/>
      <c r="E7" s="27"/>
      <c r="G7" s="26"/>
      <c r="H7" s="27"/>
      <c r="J7" s="26"/>
      <c r="K7" s="27"/>
      <c r="M7" s="26"/>
      <c r="N7" s="27"/>
      <c r="P7" s="26"/>
      <c r="Q7" s="27"/>
      <c r="S7" s="26"/>
      <c r="T7" s="27"/>
      <c r="V7" s="28"/>
    </row>
    <row r="8" ht="37.5" customHeight="1">
      <c r="A8" s="26"/>
      <c r="B8" s="27"/>
      <c r="D8" s="26"/>
      <c r="E8" s="27"/>
      <c r="G8" s="26"/>
      <c r="H8" s="27"/>
      <c r="J8" s="26"/>
      <c r="K8" s="27"/>
      <c r="M8" s="26"/>
      <c r="N8" s="27"/>
      <c r="P8" s="26"/>
      <c r="Q8" s="27"/>
      <c r="S8" s="26"/>
      <c r="T8" s="27"/>
      <c r="V8" s="28"/>
    </row>
    <row r="9" ht="37.5" customHeight="1">
      <c r="A9" s="26"/>
      <c r="B9" s="27"/>
      <c r="D9" s="26"/>
      <c r="E9" s="27"/>
      <c r="G9" s="26"/>
      <c r="H9" s="27"/>
      <c r="J9" s="26"/>
      <c r="K9" s="27"/>
      <c r="M9" s="26"/>
      <c r="N9" s="27"/>
      <c r="P9" s="26"/>
      <c r="Q9" s="27"/>
      <c r="S9" s="26"/>
      <c r="T9" s="27"/>
      <c r="V9" s="28"/>
    </row>
    <row r="10" ht="37.5" customHeight="1">
      <c r="A10" s="26"/>
      <c r="B10" s="27"/>
      <c r="D10" s="26"/>
      <c r="E10" s="27"/>
      <c r="G10" s="26"/>
      <c r="H10" s="27"/>
      <c r="J10" s="26"/>
      <c r="K10" s="27"/>
      <c r="M10" s="26"/>
      <c r="N10" s="27"/>
      <c r="P10" s="26"/>
      <c r="Q10" s="27"/>
      <c r="S10" s="26"/>
      <c r="T10" s="27"/>
      <c r="V10" s="28"/>
    </row>
    <row r="11" ht="37.5" customHeight="1">
      <c r="A11" s="26"/>
      <c r="B11" s="27"/>
      <c r="D11" s="26"/>
      <c r="E11" s="27"/>
      <c r="G11" s="26"/>
      <c r="H11" s="27"/>
      <c r="J11" s="26"/>
      <c r="K11" s="27"/>
      <c r="M11" s="26"/>
      <c r="N11" s="27"/>
      <c r="P11" s="26"/>
      <c r="Q11" s="27"/>
      <c r="S11" s="26"/>
      <c r="T11" s="27"/>
      <c r="V11" s="28"/>
    </row>
    <row r="12" ht="37.5" customHeight="1">
      <c r="A12" s="26"/>
      <c r="B12" s="27"/>
      <c r="D12" s="26"/>
      <c r="E12" s="27"/>
      <c r="G12" s="26"/>
      <c r="H12" s="27"/>
      <c r="J12" s="26"/>
      <c r="K12" s="27"/>
      <c r="M12" s="26"/>
      <c r="N12" s="27"/>
      <c r="P12" s="26"/>
      <c r="Q12" s="27"/>
      <c r="S12" s="26"/>
      <c r="T12" s="27"/>
      <c r="V12" s="28"/>
    </row>
    <row r="13" ht="37.5" customHeight="1">
      <c r="A13" s="26"/>
      <c r="B13" s="27"/>
      <c r="D13" s="26"/>
      <c r="E13" s="27"/>
      <c r="G13" s="26"/>
      <c r="H13" s="27"/>
      <c r="J13" s="26"/>
      <c r="K13" s="27"/>
      <c r="M13" s="26"/>
      <c r="N13" s="27"/>
      <c r="P13" s="26"/>
      <c r="Q13" s="27"/>
      <c r="S13" s="26"/>
      <c r="T13" s="27"/>
      <c r="V13" s="28"/>
    </row>
    <row r="14" ht="37.5" customHeight="1">
      <c r="A14" s="26"/>
      <c r="B14" s="27"/>
      <c r="D14" s="26"/>
      <c r="E14" s="27"/>
      <c r="G14" s="26"/>
      <c r="H14" s="27"/>
      <c r="J14" s="26"/>
      <c r="K14" s="27"/>
      <c r="M14" s="26"/>
      <c r="N14" s="27"/>
      <c r="P14" s="26"/>
      <c r="Q14" s="27"/>
      <c r="S14" s="26"/>
      <c r="T14" s="27"/>
      <c r="V14" s="28"/>
    </row>
    <row r="15" ht="37.5" customHeight="1">
      <c r="A15" s="26"/>
      <c r="B15" s="27"/>
      <c r="D15" s="26"/>
      <c r="E15" s="27"/>
      <c r="G15" s="26"/>
      <c r="H15" s="27"/>
      <c r="J15" s="26"/>
      <c r="K15" s="27"/>
      <c r="M15" s="26"/>
      <c r="N15" s="27"/>
      <c r="P15" s="26"/>
      <c r="Q15" s="27"/>
      <c r="S15" s="26"/>
      <c r="T15" s="27"/>
      <c r="V15" s="28"/>
    </row>
    <row r="16" ht="37.5" customHeight="1">
      <c r="A16" s="26"/>
      <c r="B16" s="27"/>
      <c r="D16" s="26"/>
      <c r="E16" s="27"/>
      <c r="G16" s="26"/>
      <c r="H16" s="27"/>
      <c r="J16" s="26"/>
      <c r="K16" s="27"/>
      <c r="M16" s="26"/>
      <c r="N16" s="27"/>
      <c r="P16" s="26"/>
      <c r="Q16" s="27"/>
      <c r="S16" s="26"/>
      <c r="T16" s="27"/>
      <c r="V16" s="28"/>
    </row>
    <row r="17" ht="37.5" customHeight="1">
      <c r="A17" s="26"/>
      <c r="B17" s="27"/>
      <c r="D17" s="26"/>
      <c r="E17" s="27"/>
      <c r="G17" s="26"/>
      <c r="H17" s="27"/>
      <c r="J17" s="26"/>
      <c r="K17" s="27"/>
      <c r="M17" s="26"/>
      <c r="N17" s="27"/>
      <c r="P17" s="26"/>
      <c r="Q17" s="27"/>
      <c r="S17" s="26"/>
      <c r="T17" s="27"/>
      <c r="V17" s="28"/>
    </row>
    <row r="18" ht="37.5" customHeight="1">
      <c r="A18" s="26"/>
      <c r="B18" s="27"/>
      <c r="D18" s="26"/>
      <c r="E18" s="27"/>
      <c r="G18" s="26"/>
      <c r="H18" s="27"/>
      <c r="J18" s="26"/>
      <c r="K18" s="27"/>
      <c r="M18" s="26"/>
      <c r="N18" s="27"/>
      <c r="P18" s="26"/>
      <c r="Q18" s="27"/>
      <c r="S18" s="26"/>
      <c r="T18" s="27"/>
      <c r="V18" s="28"/>
    </row>
    <row r="19" ht="37.5" customHeight="1">
      <c r="A19" s="26"/>
      <c r="B19" s="27"/>
      <c r="D19" s="26"/>
      <c r="E19" s="27"/>
      <c r="G19" s="26"/>
      <c r="H19" s="27"/>
      <c r="J19" s="26"/>
      <c r="K19" s="27"/>
      <c r="M19" s="26"/>
      <c r="N19" s="27"/>
      <c r="P19" s="26"/>
      <c r="Q19" s="27"/>
      <c r="S19" s="26"/>
      <c r="T19" s="27"/>
      <c r="V19" s="28"/>
    </row>
    <row r="20" ht="37.5" customHeight="1">
      <c r="A20" s="26"/>
      <c r="B20" s="27"/>
      <c r="D20" s="26"/>
      <c r="E20" s="27"/>
      <c r="G20" s="26"/>
      <c r="H20" s="27"/>
      <c r="J20" s="26"/>
      <c r="K20" s="27"/>
      <c r="M20" s="26"/>
      <c r="N20" s="27"/>
      <c r="P20" s="26"/>
      <c r="Q20" s="27"/>
      <c r="S20" s="26"/>
      <c r="T20" s="27"/>
      <c r="V20" s="28"/>
    </row>
    <row r="21" ht="15.75" customHeight="1"/>
    <row r="22" ht="15.75" customHeight="1"/>
    <row r="23" ht="15.75" customHeight="1">
      <c r="A23" s="29" t="s">
        <v>92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0">
    <mergeCell ref="A9:B9"/>
    <mergeCell ref="D10:E10"/>
    <mergeCell ref="G10:H10"/>
    <mergeCell ref="J10:K10"/>
    <mergeCell ref="M10:N10"/>
    <mergeCell ref="P10:Q10"/>
    <mergeCell ref="S10:T10"/>
    <mergeCell ref="A10:B10"/>
    <mergeCell ref="D11:E11"/>
    <mergeCell ref="G11:H11"/>
    <mergeCell ref="J11:K11"/>
    <mergeCell ref="M11:N11"/>
    <mergeCell ref="P11:Q11"/>
    <mergeCell ref="S11:T11"/>
    <mergeCell ref="A11:B11"/>
    <mergeCell ref="D12:E12"/>
    <mergeCell ref="G12:H12"/>
    <mergeCell ref="J12:K12"/>
    <mergeCell ref="M12:N12"/>
    <mergeCell ref="P12:Q12"/>
    <mergeCell ref="S12:T12"/>
    <mergeCell ref="A12:B12"/>
    <mergeCell ref="D13:E13"/>
    <mergeCell ref="G13:H13"/>
    <mergeCell ref="J13:K13"/>
    <mergeCell ref="M13:N13"/>
    <mergeCell ref="P13:Q13"/>
    <mergeCell ref="S13:T13"/>
    <mergeCell ref="A13:B13"/>
    <mergeCell ref="D14:E14"/>
    <mergeCell ref="G14:H14"/>
    <mergeCell ref="J14:K14"/>
    <mergeCell ref="M14:N14"/>
    <mergeCell ref="P14:Q14"/>
    <mergeCell ref="S14:T14"/>
    <mergeCell ref="A14:B14"/>
    <mergeCell ref="D15:E15"/>
    <mergeCell ref="G15:H15"/>
    <mergeCell ref="J15:K15"/>
    <mergeCell ref="M15:N15"/>
    <mergeCell ref="P15:Q15"/>
    <mergeCell ref="S15:T15"/>
    <mergeCell ref="A15:B15"/>
    <mergeCell ref="D16:E16"/>
    <mergeCell ref="G16:H16"/>
    <mergeCell ref="J16:K16"/>
    <mergeCell ref="M16:N16"/>
    <mergeCell ref="P16:Q16"/>
    <mergeCell ref="S16:T16"/>
    <mergeCell ref="A16:B16"/>
    <mergeCell ref="D17:E17"/>
    <mergeCell ref="G17:H17"/>
    <mergeCell ref="J17:K17"/>
    <mergeCell ref="M17:N17"/>
    <mergeCell ref="P17:Q17"/>
    <mergeCell ref="S17:T17"/>
    <mergeCell ref="A17:B17"/>
    <mergeCell ref="D18:E18"/>
    <mergeCell ref="G18:H18"/>
    <mergeCell ref="J18:K18"/>
    <mergeCell ref="M18:N18"/>
    <mergeCell ref="P18:Q18"/>
    <mergeCell ref="S18:T18"/>
    <mergeCell ref="A18:B18"/>
    <mergeCell ref="D19:E19"/>
    <mergeCell ref="G19:H19"/>
    <mergeCell ref="J19:K19"/>
    <mergeCell ref="M19:N19"/>
    <mergeCell ref="P19:Q19"/>
    <mergeCell ref="S19:T19"/>
    <mergeCell ref="A1:V1"/>
    <mergeCell ref="D3:E3"/>
    <mergeCell ref="G3:H3"/>
    <mergeCell ref="J3:K3"/>
    <mergeCell ref="M3:N3"/>
    <mergeCell ref="P3:Q3"/>
    <mergeCell ref="S3:T3"/>
    <mergeCell ref="A3:B3"/>
    <mergeCell ref="D4:E4"/>
    <mergeCell ref="G4:H4"/>
    <mergeCell ref="J4:K4"/>
    <mergeCell ref="M4:N4"/>
    <mergeCell ref="P4:Q4"/>
    <mergeCell ref="S4:T4"/>
    <mergeCell ref="A4:B4"/>
    <mergeCell ref="D6:E6"/>
    <mergeCell ref="G6:H6"/>
    <mergeCell ref="J6:K6"/>
    <mergeCell ref="M6:N6"/>
    <mergeCell ref="P6:Q6"/>
    <mergeCell ref="S6:T6"/>
    <mergeCell ref="A6:B6"/>
    <mergeCell ref="D7:E7"/>
    <mergeCell ref="G7:H7"/>
    <mergeCell ref="J7:K7"/>
    <mergeCell ref="M7:N7"/>
    <mergeCell ref="P7:Q7"/>
    <mergeCell ref="S7:T7"/>
    <mergeCell ref="A7:B7"/>
    <mergeCell ref="D8:E8"/>
    <mergeCell ref="G8:H8"/>
    <mergeCell ref="J8:K8"/>
    <mergeCell ref="M8:N8"/>
    <mergeCell ref="P8:Q8"/>
    <mergeCell ref="S8:T8"/>
    <mergeCell ref="A8:B8"/>
    <mergeCell ref="D9:E9"/>
    <mergeCell ref="G9:H9"/>
    <mergeCell ref="J9:K9"/>
    <mergeCell ref="M9:N9"/>
    <mergeCell ref="P9:Q9"/>
    <mergeCell ref="S9:T9"/>
    <mergeCell ref="A19:B19"/>
    <mergeCell ref="A20:B20"/>
    <mergeCell ref="D20:E20"/>
    <mergeCell ref="G20:H20"/>
    <mergeCell ref="J20:K20"/>
    <mergeCell ref="M20:N20"/>
    <mergeCell ref="P20:Q20"/>
    <mergeCell ref="S20:T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14.0"/>
    <col customWidth="1" min="12" max="26" width="8.71"/>
  </cols>
  <sheetData>
    <row r="1" ht="27.75" customHeight="1">
      <c r="A1" s="30" t="s">
        <v>93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3">
      <c r="B3" s="31" t="s">
        <v>94</v>
      </c>
      <c r="C3" s="2"/>
      <c r="D3" s="3"/>
      <c r="E3" s="32" t="s">
        <v>95</v>
      </c>
      <c r="F3" s="2"/>
      <c r="G3" s="3"/>
      <c r="H3" s="33" t="s">
        <v>96</v>
      </c>
      <c r="I3" s="2"/>
      <c r="J3" s="3"/>
      <c r="K3" s="34" t="s">
        <v>36</v>
      </c>
    </row>
    <row r="4">
      <c r="B4" s="35">
        <f>COUNTA('Content Pipeline'!A3:A302)</f>
        <v>5</v>
      </c>
      <c r="C4" s="36"/>
      <c r="D4" s="37"/>
      <c r="E4" s="38">
        <f>IFERROR(SUM('Content Pipeline'!T3:T302)/COUNTA('Content Pipeline'!A3:A302),0)</f>
        <v>0.275</v>
      </c>
      <c r="F4" s="36"/>
      <c r="G4" s="37"/>
      <c r="H4" s="35">
        <f>COUNTIF('Content Pipeline'!S3:S302,"Published")+COUNTIF('Content Pipeline'!S3:S302,"Repurpose")+COUNTIF('Content Pipeline'!S3:S302,"Distributed")</f>
        <v>0</v>
      </c>
      <c r="I4" s="36"/>
      <c r="J4" s="37"/>
      <c r="K4" s="39">
        <f>SUM('Content Pipeline'!W3:W302)</f>
        <v>460</v>
      </c>
    </row>
    <row r="5">
      <c r="B5" s="40"/>
      <c r="C5" s="41"/>
      <c r="D5" s="42"/>
      <c r="E5" s="40"/>
      <c r="F5" s="41"/>
      <c r="G5" s="42"/>
      <c r="H5" s="40"/>
      <c r="I5" s="41"/>
      <c r="J5" s="42"/>
      <c r="K5" s="43"/>
    </row>
    <row r="7">
      <c r="B7" s="44" t="s">
        <v>37</v>
      </c>
      <c r="C7" s="2"/>
      <c r="D7" s="3"/>
      <c r="E7" s="45" t="s">
        <v>38</v>
      </c>
      <c r="F7" s="2"/>
      <c r="G7" s="3"/>
      <c r="H7" s="46" t="s">
        <v>97</v>
      </c>
      <c r="I7" s="2"/>
      <c r="J7" s="3"/>
      <c r="K7" s="47" t="s">
        <v>98</v>
      </c>
    </row>
    <row r="8">
      <c r="B8" s="35">
        <f>SUM('Content Pipeline'!X3:X302)</f>
        <v>18</v>
      </c>
      <c r="C8" s="36"/>
      <c r="D8" s="37"/>
      <c r="E8" s="38">
        <f>IFERROR(SUM('Content Pipeline'!X3:X302)/SUM('Content Pipeline'!W3:W302),0)</f>
        <v>0.03913043478</v>
      </c>
      <c r="F8" s="36"/>
      <c r="G8" s="37"/>
      <c r="H8" s="35">
        <f>COUNTIFS('Content Calendar'!C3:C500,"Google Business Profile",'Content Calendar'!L3:L500,"Approved",'Content Calendar'!R3:R500,"Yes")</f>
        <v>0</v>
      </c>
      <c r="I8" s="36"/>
      <c r="J8" s="37"/>
      <c r="K8" s="39">
        <f>COUNTIFS('Content Pipeline'!J3:J302,"&gt;="&amp;TODAY(),'Content Pipeline'!J3:J302,"&lt;="&amp;TODAY()+7,'Content Pipeline'!A3:A302,"&lt;&gt;")</f>
        <v>0</v>
      </c>
    </row>
    <row r="9">
      <c r="B9" s="40"/>
      <c r="C9" s="41"/>
      <c r="D9" s="42"/>
      <c r="E9" s="40"/>
      <c r="F9" s="41"/>
      <c r="G9" s="42"/>
      <c r="H9" s="40"/>
      <c r="I9" s="41"/>
      <c r="J9" s="42"/>
      <c r="K9" s="43"/>
    </row>
    <row r="12">
      <c r="A12" s="48" t="s">
        <v>99</v>
      </c>
      <c r="B12" s="48" t="s">
        <v>100</v>
      </c>
      <c r="D12" s="48" t="s">
        <v>101</v>
      </c>
      <c r="E12" s="48" t="s">
        <v>36</v>
      </c>
      <c r="F12" s="48" t="s">
        <v>37</v>
      </c>
      <c r="H12" s="48" t="s">
        <v>102</v>
      </c>
      <c r="I12" s="48" t="s">
        <v>103</v>
      </c>
      <c r="J12" s="48" t="s">
        <v>104</v>
      </c>
      <c r="K12" s="48" t="s">
        <v>105</v>
      </c>
    </row>
    <row r="13">
      <c r="A13" s="49" t="s">
        <v>86</v>
      </c>
      <c r="B13" s="14">
        <f>COUNTIF('Content Pipeline'!$S$3:$S$302,A13)</f>
        <v>1</v>
      </c>
      <c r="D13" s="50">
        <f>EOMONTH(TODAY(),-5)+1</f>
        <v>45962</v>
      </c>
      <c r="E13" s="14">
        <f>SUMIFS('Content Pipeline'!$W$3:$W$302,'Content Pipeline'!$Z$3:$Z$302,TEXT(D13,"yyyy-mm"))</f>
        <v>0</v>
      </c>
      <c r="F13" s="14">
        <f>SUMIFS('Content Pipeline'!$X$3:$X$302,'Content Pipeline'!$Z$3:$Z$302,TEXT(D13,"yyyy-mm"))</f>
        <v>0</v>
      </c>
      <c r="H13" s="51">
        <f>'Content Calendar'!B3</f>
        <v>46089</v>
      </c>
      <c r="I13" s="14" t="str">
        <f>'Content Calendar'!C3</f>
        <v>Google Business Profile</v>
      </c>
      <c r="J13" s="14" t="str">
        <f>'Content Calendar'!F3</f>
        <v>Weekend escape room offer</v>
      </c>
      <c r="K13" s="14" t="str">
        <f>'Content Calendar'!L3</f>
        <v>Pending</v>
      </c>
    </row>
    <row r="14">
      <c r="A14" s="52" t="s">
        <v>24</v>
      </c>
      <c r="B14" s="14">
        <f>COUNTIF('Content Pipeline'!$S$3:$S$302,A14)</f>
        <v>1</v>
      </c>
      <c r="D14" s="50">
        <f>EOMONTH(TODAY(),-4)+1</f>
        <v>45992</v>
      </c>
      <c r="E14" s="14">
        <f>SUMIFS('Content Pipeline'!$W$3:$W$302,'Content Pipeline'!$Z$3:$Z$302,TEXT(D14,"yyyy-mm"))</f>
        <v>0</v>
      </c>
      <c r="F14" s="14">
        <f>SUMIFS('Content Pipeline'!$X$3:$X$302,'Content Pipeline'!$Z$3:$Z$302,TEXT(D14,"yyyy-mm"))</f>
        <v>0</v>
      </c>
      <c r="H14" s="51">
        <f>'Content Calendar'!B4</f>
        <v>46091</v>
      </c>
      <c r="I14" s="14" t="str">
        <f>'Content Calendar'!C4</f>
        <v>Blog</v>
      </c>
      <c r="J14" s="14" t="str">
        <f>'Content Calendar'!F4</f>
        <v>Family escape room near me</v>
      </c>
      <c r="K14" s="14" t="str">
        <f>'Content Calendar'!L4</f>
        <v>Pending</v>
      </c>
    </row>
    <row r="15">
      <c r="A15" s="53" t="s">
        <v>87</v>
      </c>
      <c r="B15" s="14">
        <f>COUNTIF('Content Pipeline'!$S$3:$S$302,A15)</f>
        <v>1</v>
      </c>
      <c r="D15" s="50">
        <f>EOMONTH(TODAY(),-3)+1</f>
        <v>46023</v>
      </c>
      <c r="E15" s="14">
        <f>SUMIFS('Content Pipeline'!$W$3:$W$302,'Content Pipeline'!$Z$3:$Z$302,TEXT(D15,"yyyy-mm"))</f>
        <v>0</v>
      </c>
      <c r="F15" s="14">
        <f>SUMIFS('Content Pipeline'!$X$3:$X$302,'Content Pipeline'!$Z$3:$Z$302,TEXT(D15,"yyyy-mm"))</f>
        <v>0</v>
      </c>
      <c r="H15" s="51">
        <f>'Content Calendar'!B5</f>
        <v>46093</v>
      </c>
      <c r="I15" s="14" t="str">
        <f>'Content Calendar'!C5</f>
        <v>Google Business Profile</v>
      </c>
      <c r="J15" s="14" t="str">
        <f>'Content Calendar'!F5</f>
        <v>Top rainy day activities in Peterborough</v>
      </c>
      <c r="K15" s="14" t="str">
        <f>'Content Calendar'!L5</f>
        <v>Pending</v>
      </c>
    </row>
    <row r="16">
      <c r="A16" s="54" t="s">
        <v>88</v>
      </c>
      <c r="B16" s="14">
        <f>COUNTIF('Content Pipeline'!$S$3:$S$302,A16)</f>
        <v>1</v>
      </c>
      <c r="D16" s="50">
        <f>EOMONTH(TODAY(),-2)+1</f>
        <v>46054</v>
      </c>
      <c r="E16" s="14">
        <f>SUMIFS('Content Pipeline'!$W$3:$W$302,'Content Pipeline'!$Z$3:$Z$302,TEXT(D16,"yyyy-mm"))</f>
        <v>0</v>
      </c>
      <c r="F16" s="14">
        <f>SUMIFS('Content Pipeline'!$X$3:$X$302,'Content Pipeline'!$Z$3:$Z$302,TEXT(D16,"yyyy-mm"))</f>
        <v>0</v>
      </c>
      <c r="H16" s="51" t="str">
        <f>'Content Calendar'!B6</f>
        <v/>
      </c>
      <c r="I16" s="14" t="str">
        <f>'Content Calendar'!C6</f>
        <v/>
      </c>
      <c r="J16" s="14" t="str">
        <f>'Content Calendar'!F6</f>
        <v/>
      </c>
      <c r="K16" s="14" t="str">
        <f>'Content Calendar'!L6</f>
        <v/>
      </c>
    </row>
    <row r="17">
      <c r="A17" s="55" t="s">
        <v>27</v>
      </c>
      <c r="B17" s="14">
        <f>COUNTIF('Content Pipeline'!$S$3:$S$302,A17)</f>
        <v>0</v>
      </c>
      <c r="D17" s="50">
        <f>EOMONTH(TODAY(),-1)+1</f>
        <v>46082</v>
      </c>
      <c r="E17" s="14">
        <f>SUMIFS('Content Pipeline'!$W$3:$W$302,'Content Pipeline'!$Z$3:$Z$302,TEXT(D17,"yyyy-mm"))</f>
        <v>460</v>
      </c>
      <c r="F17" s="14">
        <f>SUMIFS('Content Pipeline'!$X$3:$X$302,'Content Pipeline'!$Z$3:$Z$302,TEXT(D17,"yyyy-mm"))</f>
        <v>18</v>
      </c>
      <c r="H17" s="51" t="str">
        <f>'Content Calendar'!B7</f>
        <v/>
      </c>
      <c r="I17" s="14" t="str">
        <f>'Content Calendar'!C7</f>
        <v/>
      </c>
      <c r="J17" s="14" t="str">
        <f>'Content Calendar'!F7</f>
        <v/>
      </c>
      <c r="K17" s="14" t="str">
        <f>'Content Calendar'!L7</f>
        <v/>
      </c>
    </row>
    <row r="18">
      <c r="A18" s="56" t="s">
        <v>89</v>
      </c>
      <c r="B18" s="14">
        <f>COUNTIF('Content Pipeline'!$S$3:$S$302,A18)</f>
        <v>1</v>
      </c>
      <c r="D18" s="50">
        <f>EOMONTH(TODAY(),0)+1</f>
        <v>46113</v>
      </c>
      <c r="E18" s="14">
        <f>SUMIFS('Content Pipeline'!$W$3:$W$302,'Content Pipeline'!$Z$3:$Z$302,TEXT(D18,"yyyy-mm"))</f>
        <v>0</v>
      </c>
      <c r="F18" s="14">
        <f>SUMIFS('Content Pipeline'!$X$3:$X$302,'Content Pipeline'!$Z$3:$Z$302,TEXT(D18,"yyyy-mm"))</f>
        <v>0</v>
      </c>
      <c r="H18" s="51" t="str">
        <f>'Content Calendar'!B8</f>
        <v/>
      </c>
      <c r="I18" s="14" t="str">
        <f>'Content Calendar'!C8</f>
        <v/>
      </c>
      <c r="J18" s="14" t="str">
        <f>'Content Calendar'!F8</f>
        <v/>
      </c>
      <c r="K18" s="14" t="str">
        <f>'Content Calendar'!L8</f>
        <v/>
      </c>
    </row>
    <row r="19">
      <c r="A19" s="57" t="s">
        <v>90</v>
      </c>
      <c r="B19" s="14">
        <f>COUNTIF('Content Pipeline'!$S$3:$S$302,A19)</f>
        <v>0</v>
      </c>
    </row>
    <row r="20">
      <c r="A20" s="58" t="s">
        <v>91</v>
      </c>
      <c r="B20" s="14">
        <f>COUNTIF('Content Pipeline'!$S$3:$S$302,A20)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:D5"/>
    <mergeCell ref="B7:D7"/>
    <mergeCell ref="E7:G7"/>
    <mergeCell ref="H7:J7"/>
    <mergeCell ref="B8:D9"/>
    <mergeCell ref="E8:G9"/>
    <mergeCell ref="H8:J9"/>
    <mergeCell ref="K8:K9"/>
    <mergeCell ref="A1:K1"/>
    <mergeCell ref="B3:D3"/>
    <mergeCell ref="E3:G3"/>
    <mergeCell ref="H3:J3"/>
    <mergeCell ref="E4:G5"/>
    <mergeCell ref="H4:J5"/>
    <mergeCell ref="K4:K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3" width="24.0"/>
    <col customWidth="1" min="4" max="4" width="18.0"/>
    <col customWidth="1" min="5" max="5" width="26.0"/>
    <col customWidth="1" min="6" max="6" width="84.0"/>
    <col customWidth="1" min="7" max="7" width="22.0"/>
    <col customWidth="1" min="8" max="8" width="14.0"/>
    <col customWidth="1" min="9" max="26" width="8.71"/>
  </cols>
  <sheetData>
    <row r="1" ht="27.75" customHeight="1">
      <c r="A1" s="59" t="s">
        <v>106</v>
      </c>
      <c r="B1" s="2"/>
      <c r="C1" s="2"/>
      <c r="D1" s="2"/>
      <c r="E1" s="2"/>
      <c r="F1" s="2"/>
      <c r="G1" s="2"/>
      <c r="H1" s="3"/>
    </row>
    <row r="2" ht="24.0" customHeight="1">
      <c r="A2" s="9" t="s">
        <v>107</v>
      </c>
      <c r="B2" s="9" t="s">
        <v>108</v>
      </c>
      <c r="C2" s="9" t="s">
        <v>109</v>
      </c>
      <c r="D2" s="9" t="s">
        <v>110</v>
      </c>
      <c r="E2" s="9" t="s">
        <v>111</v>
      </c>
      <c r="F2" s="9" t="s">
        <v>112</v>
      </c>
      <c r="G2" s="9" t="s">
        <v>113</v>
      </c>
      <c r="H2" s="9" t="s">
        <v>114</v>
      </c>
    </row>
    <row r="3" ht="51.75" customHeight="1">
      <c r="A3" s="60" t="s">
        <v>115</v>
      </c>
      <c r="B3" s="60" t="s">
        <v>55</v>
      </c>
      <c r="C3" s="60" t="s">
        <v>116</v>
      </c>
      <c r="D3" s="60" t="s">
        <v>13</v>
      </c>
      <c r="E3" s="60" t="s">
        <v>117</v>
      </c>
      <c r="F3" s="60" t="s">
        <v>118</v>
      </c>
      <c r="G3" s="60" t="s">
        <v>119</v>
      </c>
      <c r="H3" s="60" t="s">
        <v>120</v>
      </c>
    </row>
    <row r="4" ht="51.75" customHeight="1">
      <c r="A4" s="60" t="s">
        <v>121</v>
      </c>
      <c r="B4" s="60" t="s">
        <v>122</v>
      </c>
      <c r="C4" s="60" t="s">
        <v>123</v>
      </c>
      <c r="D4" s="60" t="s">
        <v>124</v>
      </c>
      <c r="E4" s="60" t="s">
        <v>125</v>
      </c>
      <c r="F4" s="60" t="s">
        <v>126</v>
      </c>
      <c r="G4" s="60" t="s">
        <v>127</v>
      </c>
      <c r="H4" s="60" t="s">
        <v>128</v>
      </c>
    </row>
    <row r="5" ht="51.75" customHeight="1">
      <c r="A5" s="60" t="s">
        <v>129</v>
      </c>
      <c r="B5" s="60" t="s">
        <v>130</v>
      </c>
      <c r="C5" s="60" t="s">
        <v>131</v>
      </c>
      <c r="D5" s="60" t="s">
        <v>13</v>
      </c>
      <c r="E5" s="60" t="s">
        <v>132</v>
      </c>
      <c r="F5" s="60" t="s">
        <v>133</v>
      </c>
      <c r="G5" s="60" t="s">
        <v>134</v>
      </c>
      <c r="H5" s="60" t="s">
        <v>120</v>
      </c>
    </row>
    <row r="6" ht="51.75" customHeight="1">
      <c r="A6" s="60" t="s">
        <v>135</v>
      </c>
      <c r="B6" s="60" t="s">
        <v>136</v>
      </c>
      <c r="C6" s="60" t="s">
        <v>137</v>
      </c>
      <c r="D6" s="60" t="s">
        <v>13</v>
      </c>
      <c r="E6" s="60" t="s">
        <v>138</v>
      </c>
      <c r="F6" s="60" t="s">
        <v>139</v>
      </c>
      <c r="G6" s="60" t="s">
        <v>140</v>
      </c>
      <c r="H6" s="60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7.75" customHeight="1">
      <c r="A1" s="59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>
      <c r="B3" s="61" t="s">
        <v>142</v>
      </c>
      <c r="C3" s="36"/>
      <c r="D3" s="37"/>
      <c r="F3" s="61" t="s">
        <v>143</v>
      </c>
      <c r="G3" s="36"/>
      <c r="H3" s="37"/>
      <c r="J3" s="61" t="s">
        <v>144</v>
      </c>
      <c r="K3" s="36"/>
      <c r="L3" s="37"/>
      <c r="N3" s="62" t="s">
        <v>145</v>
      </c>
    </row>
    <row r="4">
      <c r="B4" s="63"/>
      <c r="D4" s="64"/>
      <c r="F4" s="63"/>
      <c r="H4" s="64"/>
      <c r="J4" s="63"/>
      <c r="L4" s="64"/>
      <c r="N4" s="65"/>
    </row>
    <row r="5">
      <c r="B5" s="63"/>
      <c r="D5" s="64"/>
      <c r="F5" s="63"/>
      <c r="H5" s="64"/>
      <c r="J5" s="63"/>
      <c r="L5" s="64"/>
      <c r="N5" s="65"/>
    </row>
    <row r="6">
      <c r="B6" s="40"/>
      <c r="C6" s="41"/>
      <c r="D6" s="42"/>
      <c r="F6" s="40"/>
      <c r="G6" s="41"/>
      <c r="H6" s="42"/>
      <c r="J6" s="40"/>
      <c r="K6" s="41"/>
      <c r="L6" s="42"/>
      <c r="N6" s="43"/>
    </row>
    <row r="9">
      <c r="B9" s="66" t="s">
        <v>146</v>
      </c>
      <c r="C9" s="36"/>
      <c r="D9" s="37"/>
      <c r="F9" s="66" t="s">
        <v>147</v>
      </c>
      <c r="G9" s="36"/>
      <c r="H9" s="37"/>
      <c r="J9" s="67" t="s">
        <v>148</v>
      </c>
      <c r="K9" s="36"/>
      <c r="L9" s="37"/>
      <c r="N9" s="68" t="s">
        <v>149</v>
      </c>
    </row>
    <row r="10">
      <c r="B10" s="63"/>
      <c r="D10" s="64"/>
      <c r="F10" s="63"/>
      <c r="H10" s="64"/>
      <c r="J10" s="63"/>
      <c r="L10" s="64"/>
      <c r="N10" s="65"/>
    </row>
    <row r="11">
      <c r="B11" s="63"/>
      <c r="D11" s="64"/>
      <c r="F11" s="63"/>
      <c r="H11" s="64"/>
      <c r="J11" s="63"/>
      <c r="L11" s="64"/>
      <c r="N11" s="65"/>
    </row>
    <row r="12">
      <c r="B12" s="40"/>
      <c r="C12" s="41"/>
      <c r="D12" s="42"/>
      <c r="F12" s="40"/>
      <c r="G12" s="41"/>
      <c r="H12" s="42"/>
      <c r="J12" s="40"/>
      <c r="K12" s="41"/>
      <c r="L12" s="42"/>
      <c r="N12" s="43"/>
    </row>
    <row r="14">
      <c r="A14" s="14" t="s">
        <v>150</v>
      </c>
      <c r="B14" s="7" t="s">
        <v>151</v>
      </c>
    </row>
    <row r="15">
      <c r="B15" s="7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3:N6"/>
    <mergeCell ref="N9:N12"/>
    <mergeCell ref="A1:N1"/>
    <mergeCell ref="B3:D6"/>
    <mergeCell ref="F3:H6"/>
    <mergeCell ref="J3:L6"/>
    <mergeCell ref="B9:D12"/>
    <mergeCell ref="F9:H12"/>
    <mergeCell ref="J9:L1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0"/>
    <col customWidth="1" min="3" max="3" width="22.0"/>
    <col customWidth="1" min="4" max="4" width="15.0"/>
    <col customWidth="1" min="5" max="5" width="14.0"/>
    <col customWidth="1" min="6" max="6" width="32.0"/>
    <col customWidth="1" min="7" max="7" width="18.0"/>
    <col customWidth="1" min="8" max="8" width="36.0"/>
    <col customWidth="1" min="9" max="9" width="18.0"/>
    <col customWidth="1" min="10" max="10" width="28.0"/>
    <col customWidth="1" min="11" max="11" width="24.0"/>
    <col customWidth="1" min="12" max="12" width="12.0"/>
    <col customWidth="1" min="13" max="13" width="10.0"/>
    <col customWidth="1" min="14" max="14" width="28.0"/>
    <col customWidth="1" min="15" max="15" width="13.0"/>
    <col customWidth="1" min="16" max="16" width="14.0"/>
    <col customWidth="1" min="17" max="17" width="24.0"/>
    <col customWidth="1" min="18" max="19" width="14.0"/>
    <col customWidth="1" min="20" max="20" width="24.0"/>
    <col customWidth="1" min="21" max="26" width="8.71"/>
  </cols>
  <sheetData>
    <row r="1" ht="27.75" customHeight="1">
      <c r="A1" s="69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24.0" customHeight="1">
      <c r="A2" s="9" t="s">
        <v>154</v>
      </c>
      <c r="B2" s="9" t="s">
        <v>155</v>
      </c>
      <c r="C2" s="9" t="s">
        <v>103</v>
      </c>
      <c r="D2" s="9" t="s">
        <v>19</v>
      </c>
      <c r="E2" s="9" t="s">
        <v>156</v>
      </c>
      <c r="F2" s="9" t="s">
        <v>104</v>
      </c>
      <c r="G2" s="9" t="s">
        <v>157</v>
      </c>
      <c r="H2" s="9" t="s">
        <v>158</v>
      </c>
      <c r="I2" s="9" t="s">
        <v>159</v>
      </c>
      <c r="J2" s="9" t="s">
        <v>160</v>
      </c>
      <c r="K2" s="9" t="s">
        <v>161</v>
      </c>
      <c r="L2" s="9" t="s">
        <v>105</v>
      </c>
      <c r="M2" s="9" t="s">
        <v>162</v>
      </c>
      <c r="N2" s="9" t="s">
        <v>35</v>
      </c>
      <c r="O2" s="9" t="s">
        <v>163</v>
      </c>
      <c r="P2" s="9" t="s">
        <v>15</v>
      </c>
      <c r="Q2" s="9" t="s">
        <v>164</v>
      </c>
      <c r="R2" s="9" t="s">
        <v>165</v>
      </c>
      <c r="S2" s="9" t="s">
        <v>166</v>
      </c>
      <c r="T2" s="9" t="s">
        <v>167</v>
      </c>
    </row>
    <row r="3">
      <c r="A3" s="60" t="s">
        <v>168</v>
      </c>
      <c r="B3" s="70">
        <v>46089.0</v>
      </c>
      <c r="C3" s="60" t="s">
        <v>66</v>
      </c>
      <c r="D3" s="60" t="s">
        <v>169</v>
      </c>
      <c r="E3" s="60" t="s">
        <v>64</v>
      </c>
      <c r="F3" s="60" t="s">
        <v>65</v>
      </c>
      <c r="G3" s="60" t="s">
        <v>170</v>
      </c>
      <c r="H3" s="60"/>
      <c r="I3" s="60" t="s">
        <v>171</v>
      </c>
      <c r="J3" s="60" t="s">
        <v>172</v>
      </c>
      <c r="K3" s="60" t="s">
        <v>173</v>
      </c>
      <c r="L3" s="60" t="s">
        <v>174</v>
      </c>
      <c r="M3" s="60" t="s">
        <v>53</v>
      </c>
      <c r="N3" s="60"/>
      <c r="O3" s="60" t="str">
        <f t="shared" ref="O3:O502" si="1">IF(B3="","",TEXT(B3,"yyyy")&amp;"-W"&amp;TEXT(ISOWEEKNUM(B3),"00"))</f>
        <v>2026-W10</v>
      </c>
      <c r="P3" s="60" t="s">
        <v>46</v>
      </c>
      <c r="Q3" s="60" t="s">
        <v>175</v>
      </c>
      <c r="R3" s="60" t="s">
        <v>53</v>
      </c>
      <c r="S3" s="60" t="s">
        <v>176</v>
      </c>
      <c r="T3" s="60"/>
    </row>
    <row r="4">
      <c r="A4" s="60" t="s">
        <v>177</v>
      </c>
      <c r="B4" s="70">
        <v>46091.0</v>
      </c>
      <c r="C4" s="60" t="s">
        <v>50</v>
      </c>
      <c r="D4" s="60" t="s">
        <v>178</v>
      </c>
      <c r="E4" s="60" t="s">
        <v>45</v>
      </c>
      <c r="F4" s="60" t="s">
        <v>49</v>
      </c>
      <c r="G4" s="60" t="s">
        <v>179</v>
      </c>
      <c r="H4" s="60"/>
      <c r="I4" s="60" t="s">
        <v>180</v>
      </c>
      <c r="J4" s="60" t="s">
        <v>181</v>
      </c>
      <c r="K4" s="60" t="s">
        <v>182</v>
      </c>
      <c r="L4" s="60" t="s">
        <v>174</v>
      </c>
      <c r="M4" s="60" t="s">
        <v>53</v>
      </c>
      <c r="N4" s="60"/>
      <c r="O4" s="60" t="str">
        <f t="shared" si="1"/>
        <v>2026-W11</v>
      </c>
      <c r="P4" s="60" t="s">
        <v>46</v>
      </c>
      <c r="Q4" s="60" t="s">
        <v>183</v>
      </c>
      <c r="R4" s="60" t="s">
        <v>54</v>
      </c>
      <c r="S4" s="60" t="s">
        <v>176</v>
      </c>
      <c r="T4" s="60"/>
    </row>
    <row r="5">
      <c r="A5" s="60" t="s">
        <v>184</v>
      </c>
      <c r="B5" s="70">
        <v>46093.0</v>
      </c>
      <c r="C5" s="60" t="s">
        <v>66</v>
      </c>
      <c r="D5" s="60" t="s">
        <v>185</v>
      </c>
      <c r="E5" s="60" t="s">
        <v>58</v>
      </c>
      <c r="F5" s="60" t="s">
        <v>59</v>
      </c>
      <c r="G5" s="60" t="s">
        <v>186</v>
      </c>
      <c r="H5" s="60"/>
      <c r="I5" s="60" t="s">
        <v>187</v>
      </c>
      <c r="J5" s="60" t="s">
        <v>188</v>
      </c>
      <c r="K5" s="60" t="s">
        <v>189</v>
      </c>
      <c r="L5" s="60" t="s">
        <v>174</v>
      </c>
      <c r="M5" s="60" t="s">
        <v>53</v>
      </c>
      <c r="N5" s="60"/>
      <c r="O5" s="60" t="str">
        <f t="shared" si="1"/>
        <v>2026-W11</v>
      </c>
      <c r="P5" s="60" t="s">
        <v>46</v>
      </c>
      <c r="Q5" s="60" t="s">
        <v>190</v>
      </c>
      <c r="R5" s="60" t="s">
        <v>53</v>
      </c>
      <c r="S5" s="60" t="s">
        <v>176</v>
      </c>
      <c r="T5" s="60"/>
    </row>
    <row r="6">
      <c r="A6" s="60"/>
      <c r="B6" s="7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 t="str">
        <f t="shared" si="1"/>
        <v/>
      </c>
      <c r="P6" s="60"/>
      <c r="Q6" s="60"/>
      <c r="R6" s="60"/>
      <c r="S6" s="60"/>
      <c r="T6" s="60"/>
    </row>
    <row r="7">
      <c r="A7" s="60"/>
      <c r="B7" s="7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 t="str">
        <f t="shared" si="1"/>
        <v/>
      </c>
      <c r="P7" s="60"/>
      <c r="Q7" s="60"/>
      <c r="R7" s="60"/>
      <c r="S7" s="60"/>
      <c r="T7" s="60"/>
    </row>
    <row r="8">
      <c r="A8" s="60"/>
      <c r="B8" s="7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 t="str">
        <f t="shared" si="1"/>
        <v/>
      </c>
      <c r="P8" s="60"/>
      <c r="Q8" s="60"/>
      <c r="R8" s="60"/>
      <c r="S8" s="60"/>
      <c r="T8" s="60"/>
    </row>
    <row r="9">
      <c r="A9" s="60"/>
      <c r="B9" s="7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 t="str">
        <f t="shared" si="1"/>
        <v/>
      </c>
      <c r="P9" s="60"/>
      <c r="Q9" s="60"/>
      <c r="R9" s="60"/>
      <c r="S9" s="60"/>
      <c r="T9" s="60"/>
    </row>
    <row r="10">
      <c r="A10" s="60"/>
      <c r="B10" s="7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 t="str">
        <f t="shared" si="1"/>
        <v/>
      </c>
      <c r="P10" s="60"/>
      <c r="Q10" s="60"/>
      <c r="R10" s="60"/>
      <c r="S10" s="60"/>
      <c r="T10" s="60"/>
    </row>
    <row r="11">
      <c r="A11" s="60"/>
      <c r="B11" s="7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 t="str">
        <f t="shared" si="1"/>
        <v/>
      </c>
      <c r="P11" s="60"/>
      <c r="Q11" s="60"/>
      <c r="R11" s="60"/>
      <c r="S11" s="60"/>
      <c r="T11" s="60"/>
    </row>
    <row r="12">
      <c r="A12" s="60"/>
      <c r="B12" s="7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 t="str">
        <f t="shared" si="1"/>
        <v/>
      </c>
      <c r="P12" s="60"/>
      <c r="Q12" s="60"/>
      <c r="R12" s="60"/>
      <c r="S12" s="60"/>
      <c r="T12" s="60"/>
    </row>
    <row r="13">
      <c r="A13" s="60"/>
      <c r="B13" s="7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 t="str">
        <f t="shared" si="1"/>
        <v/>
      </c>
      <c r="P13" s="60"/>
      <c r="Q13" s="60"/>
      <c r="R13" s="60"/>
      <c r="S13" s="60"/>
      <c r="T13" s="60"/>
    </row>
    <row r="14">
      <c r="A14" s="60"/>
      <c r="B14" s="7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 t="str">
        <f t="shared" si="1"/>
        <v/>
      </c>
      <c r="P14" s="60"/>
      <c r="Q14" s="60"/>
      <c r="R14" s="60"/>
      <c r="S14" s="60"/>
      <c r="T14" s="60"/>
    </row>
    <row r="15">
      <c r="A15" s="60"/>
      <c r="B15" s="7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 t="str">
        <f t="shared" si="1"/>
        <v/>
      </c>
      <c r="P15" s="60"/>
      <c r="Q15" s="60"/>
      <c r="R15" s="60"/>
      <c r="S15" s="60"/>
      <c r="T15" s="60"/>
    </row>
    <row r="16">
      <c r="A16" s="60"/>
      <c r="B16" s="7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 t="str">
        <f t="shared" si="1"/>
        <v/>
      </c>
      <c r="P16" s="60"/>
      <c r="Q16" s="60"/>
      <c r="R16" s="60"/>
      <c r="S16" s="60"/>
      <c r="T16" s="60"/>
    </row>
    <row r="17">
      <c r="A17" s="60"/>
      <c r="B17" s="7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 t="str">
        <f t="shared" si="1"/>
        <v/>
      </c>
      <c r="P17" s="60"/>
      <c r="Q17" s="60"/>
      <c r="R17" s="60"/>
      <c r="S17" s="60"/>
      <c r="T17" s="60"/>
    </row>
    <row r="18">
      <c r="A18" s="60"/>
      <c r="B18" s="7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 t="str">
        <f t="shared" si="1"/>
        <v/>
      </c>
      <c r="P18" s="60"/>
      <c r="Q18" s="60"/>
      <c r="R18" s="60"/>
      <c r="S18" s="60"/>
      <c r="T18" s="60"/>
    </row>
    <row r="19">
      <c r="A19" s="60"/>
      <c r="B19" s="7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 t="str">
        <f t="shared" si="1"/>
        <v/>
      </c>
      <c r="P19" s="60"/>
      <c r="Q19" s="60"/>
      <c r="R19" s="60"/>
      <c r="S19" s="60"/>
      <c r="T19" s="60"/>
    </row>
    <row r="20">
      <c r="A20" s="60"/>
      <c r="B20" s="7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 t="str">
        <f t="shared" si="1"/>
        <v/>
      </c>
      <c r="P20" s="60"/>
      <c r="Q20" s="60"/>
      <c r="R20" s="60"/>
      <c r="S20" s="60"/>
      <c r="T20" s="60"/>
    </row>
    <row r="21" ht="15.75" customHeight="1">
      <c r="A21" s="60"/>
      <c r="B21" s="7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 t="str">
        <f t="shared" si="1"/>
        <v/>
      </c>
      <c r="P21" s="60"/>
      <c r="Q21" s="60"/>
      <c r="R21" s="60"/>
      <c r="S21" s="60"/>
      <c r="T21" s="60"/>
    </row>
    <row r="22" ht="15.75" customHeight="1">
      <c r="A22" s="60"/>
      <c r="B22" s="7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 t="str">
        <f t="shared" si="1"/>
        <v/>
      </c>
      <c r="P22" s="60"/>
      <c r="Q22" s="60"/>
      <c r="R22" s="60"/>
      <c r="S22" s="60"/>
      <c r="T22" s="60"/>
    </row>
    <row r="23" ht="15.75" customHeight="1">
      <c r="A23" s="60"/>
      <c r="B23" s="7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 t="str">
        <f t="shared" si="1"/>
        <v/>
      </c>
      <c r="P23" s="60"/>
      <c r="Q23" s="60"/>
      <c r="R23" s="60"/>
      <c r="S23" s="60"/>
      <c r="T23" s="60"/>
    </row>
    <row r="24" ht="15.75" customHeight="1">
      <c r="A24" s="60"/>
      <c r="B24" s="7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 t="str">
        <f t="shared" si="1"/>
        <v/>
      </c>
      <c r="P24" s="60"/>
      <c r="Q24" s="60"/>
      <c r="R24" s="60"/>
      <c r="S24" s="60"/>
      <c r="T24" s="60"/>
    </row>
    <row r="25" ht="15.75" customHeight="1">
      <c r="A25" s="60"/>
      <c r="B25" s="7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 t="str">
        <f t="shared" si="1"/>
        <v/>
      </c>
      <c r="P25" s="60"/>
      <c r="Q25" s="60"/>
      <c r="R25" s="60"/>
      <c r="S25" s="60"/>
      <c r="T25" s="60"/>
    </row>
    <row r="26" ht="15.75" customHeight="1">
      <c r="A26" s="60"/>
      <c r="B26" s="7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 t="str">
        <f t="shared" si="1"/>
        <v/>
      </c>
      <c r="P26" s="60"/>
      <c r="Q26" s="60"/>
      <c r="R26" s="60"/>
      <c r="S26" s="60"/>
      <c r="T26" s="60"/>
    </row>
    <row r="27" ht="15.75" customHeight="1">
      <c r="A27" s="60"/>
      <c r="B27" s="7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 t="str">
        <f t="shared" si="1"/>
        <v/>
      </c>
      <c r="P27" s="60"/>
      <c r="Q27" s="60"/>
      <c r="R27" s="60"/>
      <c r="S27" s="60"/>
      <c r="T27" s="60"/>
    </row>
    <row r="28" ht="15.75" customHeight="1">
      <c r="A28" s="60"/>
      <c r="B28" s="7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 t="str">
        <f t="shared" si="1"/>
        <v/>
      </c>
      <c r="P28" s="60"/>
      <c r="Q28" s="60"/>
      <c r="R28" s="60"/>
      <c r="S28" s="60"/>
      <c r="T28" s="60"/>
    </row>
    <row r="29" ht="15.75" customHeight="1">
      <c r="A29" s="60"/>
      <c r="B29" s="7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 t="str">
        <f t="shared" si="1"/>
        <v/>
      </c>
      <c r="P29" s="60"/>
      <c r="Q29" s="60"/>
      <c r="R29" s="60"/>
      <c r="S29" s="60"/>
      <c r="T29" s="60"/>
    </row>
    <row r="30" ht="15.75" customHeight="1">
      <c r="A30" s="60"/>
      <c r="B30" s="7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 t="str">
        <f t="shared" si="1"/>
        <v/>
      </c>
      <c r="P30" s="60"/>
      <c r="Q30" s="60"/>
      <c r="R30" s="60"/>
      <c r="S30" s="60"/>
      <c r="T30" s="60"/>
    </row>
    <row r="31" ht="15.75" customHeight="1">
      <c r="A31" s="60"/>
      <c r="B31" s="7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 t="str">
        <f t="shared" si="1"/>
        <v/>
      </c>
      <c r="P31" s="60"/>
      <c r="Q31" s="60"/>
      <c r="R31" s="60"/>
      <c r="S31" s="60"/>
      <c r="T31" s="60"/>
    </row>
    <row r="32" ht="15.75" customHeight="1">
      <c r="A32" s="60"/>
      <c r="B32" s="7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 t="str">
        <f t="shared" si="1"/>
        <v/>
      </c>
      <c r="P32" s="60"/>
      <c r="Q32" s="60"/>
      <c r="R32" s="60"/>
      <c r="S32" s="60"/>
      <c r="T32" s="60"/>
    </row>
    <row r="33" ht="15.75" customHeight="1">
      <c r="A33" s="60"/>
      <c r="B33" s="7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 t="str">
        <f t="shared" si="1"/>
        <v/>
      </c>
      <c r="P33" s="60"/>
      <c r="Q33" s="60"/>
      <c r="R33" s="60"/>
      <c r="S33" s="60"/>
      <c r="T33" s="60"/>
    </row>
    <row r="34" ht="15.75" customHeight="1">
      <c r="A34" s="60"/>
      <c r="B34" s="7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 t="str">
        <f t="shared" si="1"/>
        <v/>
      </c>
      <c r="P34" s="60"/>
      <c r="Q34" s="60"/>
      <c r="R34" s="60"/>
      <c r="S34" s="60"/>
      <c r="T34" s="60"/>
    </row>
    <row r="35" ht="15.75" customHeight="1">
      <c r="A35" s="60"/>
      <c r="B35" s="7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 t="str">
        <f t="shared" si="1"/>
        <v/>
      </c>
      <c r="P35" s="60"/>
      <c r="Q35" s="60"/>
      <c r="R35" s="60"/>
      <c r="S35" s="60"/>
      <c r="T35" s="60"/>
    </row>
    <row r="36" ht="15.75" customHeight="1">
      <c r="A36" s="60"/>
      <c r="B36" s="7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 t="str">
        <f t="shared" si="1"/>
        <v/>
      </c>
      <c r="P36" s="60"/>
      <c r="Q36" s="60"/>
      <c r="R36" s="60"/>
      <c r="S36" s="60"/>
      <c r="T36" s="60"/>
    </row>
    <row r="37" ht="15.75" customHeight="1">
      <c r="A37" s="60"/>
      <c r="B37" s="7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 t="str">
        <f t="shared" si="1"/>
        <v/>
      </c>
      <c r="P37" s="60"/>
      <c r="Q37" s="60"/>
      <c r="R37" s="60"/>
      <c r="S37" s="60"/>
      <c r="T37" s="60"/>
    </row>
    <row r="38" ht="15.75" customHeight="1">
      <c r="A38" s="60"/>
      <c r="B38" s="7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 t="str">
        <f t="shared" si="1"/>
        <v/>
      </c>
      <c r="P38" s="60"/>
      <c r="Q38" s="60"/>
      <c r="R38" s="60"/>
      <c r="S38" s="60"/>
      <c r="T38" s="60"/>
    </row>
    <row r="39" ht="15.75" customHeight="1">
      <c r="A39" s="60"/>
      <c r="B39" s="7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 t="str">
        <f t="shared" si="1"/>
        <v/>
      </c>
      <c r="P39" s="60"/>
      <c r="Q39" s="60"/>
      <c r="R39" s="60"/>
      <c r="S39" s="60"/>
      <c r="T39" s="60"/>
    </row>
    <row r="40" ht="15.75" customHeight="1">
      <c r="A40" s="60"/>
      <c r="B40" s="7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 t="str">
        <f t="shared" si="1"/>
        <v/>
      </c>
      <c r="P40" s="60"/>
      <c r="Q40" s="60"/>
      <c r="R40" s="60"/>
      <c r="S40" s="60"/>
      <c r="T40" s="60"/>
    </row>
    <row r="41" ht="15.75" customHeight="1">
      <c r="A41" s="60"/>
      <c r="B41" s="7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 t="str">
        <f t="shared" si="1"/>
        <v/>
      </c>
      <c r="P41" s="60"/>
      <c r="Q41" s="60"/>
      <c r="R41" s="60"/>
      <c r="S41" s="60"/>
      <c r="T41" s="60"/>
    </row>
    <row r="42" ht="15.75" customHeight="1">
      <c r="A42" s="60"/>
      <c r="B42" s="7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 t="str">
        <f t="shared" si="1"/>
        <v/>
      </c>
      <c r="P42" s="60"/>
      <c r="Q42" s="60"/>
      <c r="R42" s="60"/>
      <c r="S42" s="60"/>
      <c r="T42" s="60"/>
    </row>
    <row r="43" ht="15.75" customHeight="1">
      <c r="A43" s="60"/>
      <c r="B43" s="7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 t="str">
        <f t="shared" si="1"/>
        <v/>
      </c>
      <c r="P43" s="60"/>
      <c r="Q43" s="60"/>
      <c r="R43" s="60"/>
      <c r="S43" s="60"/>
      <c r="T43" s="60"/>
    </row>
    <row r="44" ht="15.75" customHeight="1">
      <c r="A44" s="60"/>
      <c r="B44" s="7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 t="str">
        <f t="shared" si="1"/>
        <v/>
      </c>
      <c r="P44" s="60"/>
      <c r="Q44" s="60"/>
      <c r="R44" s="60"/>
      <c r="S44" s="60"/>
      <c r="T44" s="60"/>
    </row>
    <row r="45" ht="15.75" customHeight="1">
      <c r="A45" s="60"/>
      <c r="B45" s="7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 t="str">
        <f t="shared" si="1"/>
        <v/>
      </c>
      <c r="P45" s="60"/>
      <c r="Q45" s="60"/>
      <c r="R45" s="60"/>
      <c r="S45" s="60"/>
      <c r="T45" s="60"/>
    </row>
    <row r="46" ht="15.75" customHeight="1">
      <c r="A46" s="60"/>
      <c r="B46" s="7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 t="str">
        <f t="shared" si="1"/>
        <v/>
      </c>
      <c r="P46" s="60"/>
      <c r="Q46" s="60"/>
      <c r="R46" s="60"/>
      <c r="S46" s="60"/>
      <c r="T46" s="60"/>
    </row>
    <row r="47" ht="15.75" customHeight="1">
      <c r="A47" s="60"/>
      <c r="B47" s="7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 t="str">
        <f t="shared" si="1"/>
        <v/>
      </c>
      <c r="P47" s="60"/>
      <c r="Q47" s="60"/>
      <c r="R47" s="60"/>
      <c r="S47" s="60"/>
      <c r="T47" s="60"/>
    </row>
    <row r="48" ht="15.75" customHeight="1">
      <c r="A48" s="60"/>
      <c r="B48" s="7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 t="str">
        <f t="shared" si="1"/>
        <v/>
      </c>
      <c r="P48" s="60"/>
      <c r="Q48" s="60"/>
      <c r="R48" s="60"/>
      <c r="S48" s="60"/>
      <c r="T48" s="60"/>
    </row>
    <row r="49" ht="15.75" customHeight="1">
      <c r="A49" s="60"/>
      <c r="B49" s="7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 t="str">
        <f t="shared" si="1"/>
        <v/>
      </c>
      <c r="P49" s="60"/>
      <c r="Q49" s="60"/>
      <c r="R49" s="60"/>
      <c r="S49" s="60"/>
      <c r="T49" s="60"/>
    </row>
    <row r="50" ht="15.75" customHeight="1">
      <c r="A50" s="60"/>
      <c r="B50" s="7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 t="str">
        <f t="shared" si="1"/>
        <v/>
      </c>
      <c r="P50" s="60"/>
      <c r="Q50" s="60"/>
      <c r="R50" s="60"/>
      <c r="S50" s="60"/>
      <c r="T50" s="60"/>
    </row>
    <row r="51" ht="15.75" customHeight="1">
      <c r="A51" s="60"/>
      <c r="B51" s="7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 t="str">
        <f t="shared" si="1"/>
        <v/>
      </c>
      <c r="P51" s="60"/>
      <c r="Q51" s="60"/>
      <c r="R51" s="60"/>
      <c r="S51" s="60"/>
      <c r="T51" s="60"/>
    </row>
    <row r="52" ht="15.75" customHeight="1">
      <c r="A52" s="60"/>
      <c r="B52" s="7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 t="str">
        <f t="shared" si="1"/>
        <v/>
      </c>
      <c r="P52" s="60"/>
      <c r="Q52" s="60"/>
      <c r="R52" s="60"/>
      <c r="S52" s="60"/>
      <c r="T52" s="60"/>
    </row>
    <row r="53" ht="15.75" customHeight="1">
      <c r="A53" s="60"/>
      <c r="B53" s="7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 t="str">
        <f t="shared" si="1"/>
        <v/>
      </c>
      <c r="P53" s="60"/>
      <c r="Q53" s="60"/>
      <c r="R53" s="60"/>
      <c r="S53" s="60"/>
      <c r="T53" s="60"/>
    </row>
    <row r="54" ht="15.75" customHeight="1">
      <c r="A54" s="60"/>
      <c r="B54" s="7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 t="str">
        <f t="shared" si="1"/>
        <v/>
      </c>
      <c r="P54" s="60"/>
      <c r="Q54" s="60"/>
      <c r="R54" s="60"/>
      <c r="S54" s="60"/>
      <c r="T54" s="60"/>
    </row>
    <row r="55" ht="15.75" customHeight="1">
      <c r="A55" s="60"/>
      <c r="B55" s="7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 t="str">
        <f t="shared" si="1"/>
        <v/>
      </c>
      <c r="P55" s="60"/>
      <c r="Q55" s="60"/>
      <c r="R55" s="60"/>
      <c r="S55" s="60"/>
      <c r="T55" s="60"/>
    </row>
    <row r="56" ht="15.75" customHeight="1">
      <c r="A56" s="60"/>
      <c r="B56" s="7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 t="str">
        <f t="shared" si="1"/>
        <v/>
      </c>
      <c r="P56" s="60"/>
      <c r="Q56" s="60"/>
      <c r="R56" s="60"/>
      <c r="S56" s="60"/>
      <c r="T56" s="60"/>
    </row>
    <row r="57" ht="15.75" customHeight="1">
      <c r="A57" s="60"/>
      <c r="B57" s="7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 t="str">
        <f t="shared" si="1"/>
        <v/>
      </c>
      <c r="P57" s="60"/>
      <c r="Q57" s="60"/>
      <c r="R57" s="60"/>
      <c r="S57" s="60"/>
      <c r="T57" s="60"/>
    </row>
    <row r="58" ht="15.75" customHeight="1">
      <c r="A58" s="60"/>
      <c r="B58" s="7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 t="str">
        <f t="shared" si="1"/>
        <v/>
      </c>
      <c r="P58" s="60"/>
      <c r="Q58" s="60"/>
      <c r="R58" s="60"/>
      <c r="S58" s="60"/>
      <c r="T58" s="60"/>
    </row>
    <row r="59" ht="15.75" customHeight="1">
      <c r="A59" s="60"/>
      <c r="B59" s="7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 t="str">
        <f t="shared" si="1"/>
        <v/>
      </c>
      <c r="P59" s="60"/>
      <c r="Q59" s="60"/>
      <c r="R59" s="60"/>
      <c r="S59" s="60"/>
      <c r="T59" s="60"/>
    </row>
    <row r="60" ht="15.75" customHeight="1">
      <c r="A60" s="60"/>
      <c r="B60" s="7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 t="str">
        <f t="shared" si="1"/>
        <v/>
      </c>
      <c r="P60" s="60"/>
      <c r="Q60" s="60"/>
      <c r="R60" s="60"/>
      <c r="S60" s="60"/>
      <c r="T60" s="60"/>
    </row>
    <row r="61" ht="15.75" customHeight="1">
      <c r="A61" s="60"/>
      <c r="B61" s="7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 t="str">
        <f t="shared" si="1"/>
        <v/>
      </c>
      <c r="P61" s="60"/>
      <c r="Q61" s="60"/>
      <c r="R61" s="60"/>
      <c r="S61" s="60"/>
      <c r="T61" s="60"/>
    </row>
    <row r="62" ht="15.75" customHeight="1">
      <c r="A62" s="60"/>
      <c r="B62" s="7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 t="str">
        <f t="shared" si="1"/>
        <v/>
      </c>
      <c r="P62" s="60"/>
      <c r="Q62" s="60"/>
      <c r="R62" s="60"/>
      <c r="S62" s="60"/>
      <c r="T62" s="60"/>
    </row>
    <row r="63" ht="15.75" customHeight="1">
      <c r="A63" s="60"/>
      <c r="B63" s="7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 t="str">
        <f t="shared" si="1"/>
        <v/>
      </c>
      <c r="P63" s="60"/>
      <c r="Q63" s="60"/>
      <c r="R63" s="60"/>
      <c r="S63" s="60"/>
      <c r="T63" s="60"/>
    </row>
    <row r="64" ht="15.75" customHeight="1">
      <c r="A64" s="60"/>
      <c r="B64" s="7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 t="str">
        <f t="shared" si="1"/>
        <v/>
      </c>
      <c r="P64" s="60"/>
      <c r="Q64" s="60"/>
      <c r="R64" s="60"/>
      <c r="S64" s="60"/>
      <c r="T64" s="60"/>
    </row>
    <row r="65" ht="15.75" customHeight="1">
      <c r="A65" s="60"/>
      <c r="B65" s="7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 t="str">
        <f t="shared" si="1"/>
        <v/>
      </c>
      <c r="P65" s="60"/>
      <c r="Q65" s="60"/>
      <c r="R65" s="60"/>
      <c r="S65" s="60"/>
      <c r="T65" s="60"/>
    </row>
    <row r="66" ht="15.75" customHeight="1">
      <c r="A66" s="60"/>
      <c r="B66" s="7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 t="str">
        <f t="shared" si="1"/>
        <v/>
      </c>
      <c r="P66" s="60"/>
      <c r="Q66" s="60"/>
      <c r="R66" s="60"/>
      <c r="S66" s="60"/>
      <c r="T66" s="60"/>
    </row>
    <row r="67" ht="15.75" customHeight="1">
      <c r="A67" s="60"/>
      <c r="B67" s="7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 t="str">
        <f t="shared" si="1"/>
        <v/>
      </c>
      <c r="P67" s="60"/>
      <c r="Q67" s="60"/>
      <c r="R67" s="60"/>
      <c r="S67" s="60"/>
      <c r="T67" s="60"/>
    </row>
    <row r="68" ht="15.75" customHeight="1">
      <c r="A68" s="60"/>
      <c r="B68" s="7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 t="str">
        <f t="shared" si="1"/>
        <v/>
      </c>
      <c r="P68" s="60"/>
      <c r="Q68" s="60"/>
      <c r="R68" s="60"/>
      <c r="S68" s="60"/>
      <c r="T68" s="60"/>
    </row>
    <row r="69" ht="15.75" customHeight="1">
      <c r="A69" s="60"/>
      <c r="B69" s="7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 t="str">
        <f t="shared" si="1"/>
        <v/>
      </c>
      <c r="P69" s="60"/>
      <c r="Q69" s="60"/>
      <c r="R69" s="60"/>
      <c r="S69" s="60"/>
      <c r="T69" s="60"/>
    </row>
    <row r="70" ht="15.75" customHeight="1">
      <c r="A70" s="60"/>
      <c r="B70" s="7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 t="str">
        <f t="shared" si="1"/>
        <v/>
      </c>
      <c r="P70" s="60"/>
      <c r="Q70" s="60"/>
      <c r="R70" s="60"/>
      <c r="S70" s="60"/>
      <c r="T70" s="60"/>
    </row>
    <row r="71" ht="15.75" customHeight="1">
      <c r="A71" s="60"/>
      <c r="B71" s="7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 t="str">
        <f t="shared" si="1"/>
        <v/>
      </c>
      <c r="P71" s="60"/>
      <c r="Q71" s="60"/>
      <c r="R71" s="60"/>
      <c r="S71" s="60"/>
      <c r="T71" s="60"/>
    </row>
    <row r="72" ht="15.75" customHeight="1">
      <c r="A72" s="60"/>
      <c r="B72" s="7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 t="str">
        <f t="shared" si="1"/>
        <v/>
      </c>
      <c r="P72" s="60"/>
      <c r="Q72" s="60"/>
      <c r="R72" s="60"/>
      <c r="S72" s="60"/>
      <c r="T72" s="60"/>
    </row>
    <row r="73" ht="15.75" customHeight="1">
      <c r="A73" s="60"/>
      <c r="B73" s="7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 t="str">
        <f t="shared" si="1"/>
        <v/>
      </c>
      <c r="P73" s="60"/>
      <c r="Q73" s="60"/>
      <c r="R73" s="60"/>
      <c r="S73" s="60"/>
      <c r="T73" s="60"/>
    </row>
    <row r="74" ht="15.75" customHeight="1">
      <c r="A74" s="60"/>
      <c r="B74" s="7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 t="str">
        <f t="shared" si="1"/>
        <v/>
      </c>
      <c r="P74" s="60"/>
      <c r="Q74" s="60"/>
      <c r="R74" s="60"/>
      <c r="S74" s="60"/>
      <c r="T74" s="60"/>
    </row>
    <row r="75" ht="15.75" customHeight="1">
      <c r="A75" s="60"/>
      <c r="B75" s="7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 t="str">
        <f t="shared" si="1"/>
        <v/>
      </c>
      <c r="P75" s="60"/>
      <c r="Q75" s="60"/>
      <c r="R75" s="60"/>
      <c r="S75" s="60"/>
      <c r="T75" s="60"/>
    </row>
    <row r="76" ht="15.75" customHeight="1">
      <c r="A76" s="60"/>
      <c r="B76" s="7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 t="str">
        <f t="shared" si="1"/>
        <v/>
      </c>
      <c r="P76" s="60"/>
      <c r="Q76" s="60"/>
      <c r="R76" s="60"/>
      <c r="S76" s="60"/>
      <c r="T76" s="60"/>
    </row>
    <row r="77" ht="15.75" customHeight="1">
      <c r="A77" s="60"/>
      <c r="B77" s="7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 t="str">
        <f t="shared" si="1"/>
        <v/>
      </c>
      <c r="P77" s="60"/>
      <c r="Q77" s="60"/>
      <c r="R77" s="60"/>
      <c r="S77" s="60"/>
      <c r="T77" s="60"/>
    </row>
    <row r="78" ht="15.75" customHeight="1">
      <c r="A78" s="60"/>
      <c r="B78" s="7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 t="str">
        <f t="shared" si="1"/>
        <v/>
      </c>
      <c r="P78" s="60"/>
      <c r="Q78" s="60"/>
      <c r="R78" s="60"/>
      <c r="S78" s="60"/>
      <c r="T78" s="60"/>
    </row>
    <row r="79" ht="15.75" customHeight="1">
      <c r="A79" s="60"/>
      <c r="B79" s="7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 t="str">
        <f t="shared" si="1"/>
        <v/>
      </c>
      <c r="P79" s="60"/>
      <c r="Q79" s="60"/>
      <c r="R79" s="60"/>
      <c r="S79" s="60"/>
      <c r="T79" s="60"/>
    </row>
    <row r="80" ht="15.75" customHeight="1">
      <c r="A80" s="60"/>
      <c r="B80" s="7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 t="str">
        <f t="shared" si="1"/>
        <v/>
      </c>
      <c r="P80" s="60"/>
      <c r="Q80" s="60"/>
      <c r="R80" s="60"/>
      <c r="S80" s="60"/>
      <c r="T80" s="60"/>
    </row>
    <row r="81" ht="15.75" customHeight="1">
      <c r="A81" s="60"/>
      <c r="B81" s="7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 t="str">
        <f t="shared" si="1"/>
        <v/>
      </c>
      <c r="P81" s="60"/>
      <c r="Q81" s="60"/>
      <c r="R81" s="60"/>
      <c r="S81" s="60"/>
      <c r="T81" s="60"/>
    </row>
    <row r="82" ht="15.75" customHeight="1">
      <c r="A82" s="60"/>
      <c r="B82" s="7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 t="str">
        <f t="shared" si="1"/>
        <v/>
      </c>
      <c r="P82" s="60"/>
      <c r="Q82" s="60"/>
      <c r="R82" s="60"/>
      <c r="S82" s="60"/>
      <c r="T82" s="60"/>
    </row>
    <row r="83" ht="15.75" customHeight="1">
      <c r="A83" s="60"/>
      <c r="B83" s="7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 t="str">
        <f t="shared" si="1"/>
        <v/>
      </c>
      <c r="P83" s="60"/>
      <c r="Q83" s="60"/>
      <c r="R83" s="60"/>
      <c r="S83" s="60"/>
      <c r="T83" s="60"/>
    </row>
    <row r="84" ht="15.75" customHeight="1">
      <c r="A84" s="60"/>
      <c r="B84" s="7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 t="str">
        <f t="shared" si="1"/>
        <v/>
      </c>
      <c r="P84" s="60"/>
      <c r="Q84" s="60"/>
      <c r="R84" s="60"/>
      <c r="S84" s="60"/>
      <c r="T84" s="60"/>
    </row>
    <row r="85" ht="15.75" customHeight="1">
      <c r="A85" s="60"/>
      <c r="B85" s="7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 t="str">
        <f t="shared" si="1"/>
        <v/>
      </c>
      <c r="P85" s="60"/>
      <c r="Q85" s="60"/>
      <c r="R85" s="60"/>
      <c r="S85" s="60"/>
      <c r="T85" s="60"/>
    </row>
    <row r="86" ht="15.75" customHeight="1">
      <c r="A86" s="60"/>
      <c r="B86" s="7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 t="str">
        <f t="shared" si="1"/>
        <v/>
      </c>
      <c r="P86" s="60"/>
      <c r="Q86" s="60"/>
      <c r="R86" s="60"/>
      <c r="S86" s="60"/>
      <c r="T86" s="60"/>
    </row>
    <row r="87" ht="15.75" customHeight="1">
      <c r="A87" s="60"/>
      <c r="B87" s="7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 t="str">
        <f t="shared" si="1"/>
        <v/>
      </c>
      <c r="P87" s="60"/>
      <c r="Q87" s="60"/>
      <c r="R87" s="60"/>
      <c r="S87" s="60"/>
      <c r="T87" s="60"/>
    </row>
    <row r="88" ht="15.75" customHeight="1">
      <c r="A88" s="60"/>
      <c r="B88" s="7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 t="str">
        <f t="shared" si="1"/>
        <v/>
      </c>
      <c r="P88" s="60"/>
      <c r="Q88" s="60"/>
      <c r="R88" s="60"/>
      <c r="S88" s="60"/>
      <c r="T88" s="60"/>
    </row>
    <row r="89" ht="15.75" customHeight="1">
      <c r="A89" s="60"/>
      <c r="B89" s="7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 t="str">
        <f t="shared" si="1"/>
        <v/>
      </c>
      <c r="P89" s="60"/>
      <c r="Q89" s="60"/>
      <c r="R89" s="60"/>
      <c r="S89" s="60"/>
      <c r="T89" s="60"/>
    </row>
    <row r="90" ht="15.75" customHeight="1">
      <c r="A90" s="60"/>
      <c r="B90" s="7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 t="str">
        <f t="shared" si="1"/>
        <v/>
      </c>
      <c r="P90" s="60"/>
      <c r="Q90" s="60"/>
      <c r="R90" s="60"/>
      <c r="S90" s="60"/>
      <c r="T90" s="60"/>
    </row>
    <row r="91" ht="15.75" customHeight="1">
      <c r="A91" s="60"/>
      <c r="B91" s="7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 t="str">
        <f t="shared" si="1"/>
        <v/>
      </c>
      <c r="P91" s="60"/>
      <c r="Q91" s="60"/>
      <c r="R91" s="60"/>
      <c r="S91" s="60"/>
      <c r="T91" s="60"/>
    </row>
    <row r="92" ht="15.75" customHeight="1">
      <c r="A92" s="60"/>
      <c r="B92" s="7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 t="str">
        <f t="shared" si="1"/>
        <v/>
      </c>
      <c r="P92" s="60"/>
      <c r="Q92" s="60"/>
      <c r="R92" s="60"/>
      <c r="S92" s="60"/>
      <c r="T92" s="60"/>
    </row>
    <row r="93" ht="15.75" customHeight="1">
      <c r="A93" s="60"/>
      <c r="B93" s="7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 t="str">
        <f t="shared" si="1"/>
        <v/>
      </c>
      <c r="P93" s="60"/>
      <c r="Q93" s="60"/>
      <c r="R93" s="60"/>
      <c r="S93" s="60"/>
      <c r="T93" s="60"/>
    </row>
    <row r="94" ht="15.75" customHeight="1">
      <c r="A94" s="60"/>
      <c r="B94" s="7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 t="str">
        <f t="shared" si="1"/>
        <v/>
      </c>
      <c r="P94" s="60"/>
      <c r="Q94" s="60"/>
      <c r="R94" s="60"/>
      <c r="S94" s="60"/>
      <c r="T94" s="60"/>
    </row>
    <row r="95" ht="15.75" customHeight="1">
      <c r="A95" s="60"/>
      <c r="B95" s="7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 t="str">
        <f t="shared" si="1"/>
        <v/>
      </c>
      <c r="P95" s="60"/>
      <c r="Q95" s="60"/>
      <c r="R95" s="60"/>
      <c r="S95" s="60"/>
      <c r="T95" s="60"/>
    </row>
    <row r="96" ht="15.75" customHeight="1">
      <c r="A96" s="60"/>
      <c r="B96" s="7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 t="str">
        <f t="shared" si="1"/>
        <v/>
      </c>
      <c r="P96" s="60"/>
      <c r="Q96" s="60"/>
      <c r="R96" s="60"/>
      <c r="S96" s="60"/>
      <c r="T96" s="60"/>
    </row>
    <row r="97" ht="15.75" customHeight="1">
      <c r="A97" s="60"/>
      <c r="B97" s="7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 t="str">
        <f t="shared" si="1"/>
        <v/>
      </c>
      <c r="P97" s="60"/>
      <c r="Q97" s="60"/>
      <c r="R97" s="60"/>
      <c r="S97" s="60"/>
      <c r="T97" s="60"/>
    </row>
    <row r="98" ht="15.75" customHeight="1">
      <c r="A98" s="60"/>
      <c r="B98" s="7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 t="str">
        <f t="shared" si="1"/>
        <v/>
      </c>
      <c r="P98" s="60"/>
      <c r="Q98" s="60"/>
      <c r="R98" s="60"/>
      <c r="S98" s="60"/>
      <c r="T98" s="60"/>
    </row>
    <row r="99" ht="15.75" customHeight="1">
      <c r="A99" s="60"/>
      <c r="B99" s="7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 t="str">
        <f t="shared" si="1"/>
        <v/>
      </c>
      <c r="P99" s="60"/>
      <c r="Q99" s="60"/>
      <c r="R99" s="60"/>
      <c r="S99" s="60"/>
      <c r="T99" s="60"/>
    </row>
    <row r="100" ht="15.75" customHeight="1">
      <c r="A100" s="60"/>
      <c r="B100" s="7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 t="str">
        <f t="shared" si="1"/>
        <v/>
      </c>
      <c r="P100" s="60"/>
      <c r="Q100" s="60"/>
      <c r="R100" s="60"/>
      <c r="S100" s="60"/>
      <c r="T100" s="60"/>
    </row>
    <row r="101" ht="15.75" customHeight="1">
      <c r="A101" s="60"/>
      <c r="B101" s="7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 t="str">
        <f t="shared" si="1"/>
        <v/>
      </c>
      <c r="P101" s="60"/>
      <c r="Q101" s="60"/>
      <c r="R101" s="60"/>
      <c r="S101" s="60"/>
      <c r="T101" s="60"/>
    </row>
    <row r="102" ht="15.75" customHeight="1">
      <c r="A102" s="60"/>
      <c r="B102" s="7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 t="str">
        <f t="shared" si="1"/>
        <v/>
      </c>
      <c r="P102" s="60"/>
      <c r="Q102" s="60"/>
      <c r="R102" s="60"/>
      <c r="S102" s="60"/>
      <c r="T102" s="60"/>
    </row>
    <row r="103" ht="15.75" customHeight="1">
      <c r="A103" s="60"/>
      <c r="B103" s="7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 t="str">
        <f t="shared" si="1"/>
        <v/>
      </c>
      <c r="P103" s="60"/>
      <c r="Q103" s="60"/>
      <c r="R103" s="60"/>
      <c r="S103" s="60"/>
      <c r="T103" s="60"/>
    </row>
    <row r="104" ht="15.75" customHeight="1">
      <c r="A104" s="60"/>
      <c r="B104" s="7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 t="str">
        <f t="shared" si="1"/>
        <v/>
      </c>
      <c r="P104" s="60"/>
      <c r="Q104" s="60"/>
      <c r="R104" s="60"/>
      <c r="S104" s="60"/>
      <c r="T104" s="60"/>
    </row>
    <row r="105" ht="15.75" customHeight="1">
      <c r="A105" s="60"/>
      <c r="B105" s="7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 t="str">
        <f t="shared" si="1"/>
        <v/>
      </c>
      <c r="P105" s="60"/>
      <c r="Q105" s="60"/>
      <c r="R105" s="60"/>
      <c r="S105" s="60"/>
      <c r="T105" s="60"/>
    </row>
    <row r="106" ht="15.75" customHeight="1">
      <c r="A106" s="60"/>
      <c r="B106" s="7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 t="str">
        <f t="shared" si="1"/>
        <v/>
      </c>
      <c r="P106" s="60"/>
      <c r="Q106" s="60"/>
      <c r="R106" s="60"/>
      <c r="S106" s="60"/>
      <c r="T106" s="60"/>
    </row>
    <row r="107" ht="15.75" customHeight="1">
      <c r="A107" s="60"/>
      <c r="B107" s="7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 t="str">
        <f t="shared" si="1"/>
        <v/>
      </c>
      <c r="P107" s="60"/>
      <c r="Q107" s="60"/>
      <c r="R107" s="60"/>
      <c r="S107" s="60"/>
      <c r="T107" s="60"/>
    </row>
    <row r="108" ht="15.75" customHeight="1">
      <c r="A108" s="60"/>
      <c r="B108" s="7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 t="str">
        <f t="shared" si="1"/>
        <v/>
      </c>
      <c r="P108" s="60"/>
      <c r="Q108" s="60"/>
      <c r="R108" s="60"/>
      <c r="S108" s="60"/>
      <c r="T108" s="60"/>
    </row>
    <row r="109" ht="15.75" customHeight="1">
      <c r="A109" s="60"/>
      <c r="B109" s="7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 t="str">
        <f t="shared" si="1"/>
        <v/>
      </c>
      <c r="P109" s="60"/>
      <c r="Q109" s="60"/>
      <c r="R109" s="60"/>
      <c r="S109" s="60"/>
      <c r="T109" s="60"/>
    </row>
    <row r="110" ht="15.75" customHeight="1">
      <c r="A110" s="60"/>
      <c r="B110" s="7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 t="str">
        <f t="shared" si="1"/>
        <v/>
      </c>
      <c r="P110" s="60"/>
      <c r="Q110" s="60"/>
      <c r="R110" s="60"/>
      <c r="S110" s="60"/>
      <c r="T110" s="60"/>
    </row>
    <row r="111" ht="15.75" customHeight="1">
      <c r="A111" s="60"/>
      <c r="B111" s="7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 t="str">
        <f t="shared" si="1"/>
        <v/>
      </c>
      <c r="P111" s="60"/>
      <c r="Q111" s="60"/>
      <c r="R111" s="60"/>
      <c r="S111" s="60"/>
      <c r="T111" s="60"/>
    </row>
    <row r="112" ht="15.75" customHeight="1">
      <c r="A112" s="60"/>
      <c r="B112" s="7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 t="str">
        <f t="shared" si="1"/>
        <v/>
      </c>
      <c r="P112" s="60"/>
      <c r="Q112" s="60"/>
      <c r="R112" s="60"/>
      <c r="S112" s="60"/>
      <c r="T112" s="60"/>
    </row>
    <row r="113" ht="15.75" customHeight="1">
      <c r="A113" s="60"/>
      <c r="B113" s="7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 t="str">
        <f t="shared" si="1"/>
        <v/>
      </c>
      <c r="P113" s="60"/>
      <c r="Q113" s="60"/>
      <c r="R113" s="60"/>
      <c r="S113" s="60"/>
      <c r="T113" s="60"/>
    </row>
    <row r="114" ht="15.75" customHeight="1">
      <c r="A114" s="60"/>
      <c r="B114" s="7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 t="str">
        <f t="shared" si="1"/>
        <v/>
      </c>
      <c r="P114" s="60"/>
      <c r="Q114" s="60"/>
      <c r="R114" s="60"/>
      <c r="S114" s="60"/>
      <c r="T114" s="60"/>
    </row>
    <row r="115" ht="15.75" customHeight="1">
      <c r="A115" s="60"/>
      <c r="B115" s="7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 t="str">
        <f t="shared" si="1"/>
        <v/>
      </c>
      <c r="P115" s="60"/>
      <c r="Q115" s="60"/>
      <c r="R115" s="60"/>
      <c r="S115" s="60"/>
      <c r="T115" s="60"/>
    </row>
    <row r="116" ht="15.75" customHeight="1">
      <c r="A116" s="60"/>
      <c r="B116" s="7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 t="str">
        <f t="shared" si="1"/>
        <v/>
      </c>
      <c r="P116" s="60"/>
      <c r="Q116" s="60"/>
      <c r="R116" s="60"/>
      <c r="S116" s="60"/>
      <c r="T116" s="60"/>
    </row>
    <row r="117" ht="15.75" customHeight="1">
      <c r="A117" s="60"/>
      <c r="B117" s="7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 t="str">
        <f t="shared" si="1"/>
        <v/>
      </c>
      <c r="P117" s="60"/>
      <c r="Q117" s="60"/>
      <c r="R117" s="60"/>
      <c r="S117" s="60"/>
      <c r="T117" s="60"/>
    </row>
    <row r="118" ht="15.75" customHeight="1">
      <c r="A118" s="60"/>
      <c r="B118" s="7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 t="str">
        <f t="shared" si="1"/>
        <v/>
      </c>
      <c r="P118" s="60"/>
      <c r="Q118" s="60"/>
      <c r="R118" s="60"/>
      <c r="S118" s="60"/>
      <c r="T118" s="60"/>
    </row>
    <row r="119" ht="15.75" customHeight="1">
      <c r="A119" s="60"/>
      <c r="B119" s="7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 t="str">
        <f t="shared" si="1"/>
        <v/>
      </c>
      <c r="P119" s="60"/>
      <c r="Q119" s="60"/>
      <c r="R119" s="60"/>
      <c r="S119" s="60"/>
      <c r="T119" s="60"/>
    </row>
    <row r="120" ht="15.75" customHeight="1">
      <c r="A120" s="60"/>
      <c r="B120" s="7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 t="str">
        <f t="shared" si="1"/>
        <v/>
      </c>
      <c r="P120" s="60"/>
      <c r="Q120" s="60"/>
      <c r="R120" s="60"/>
      <c r="S120" s="60"/>
      <c r="T120" s="60"/>
    </row>
    <row r="121" ht="15.75" customHeight="1">
      <c r="A121" s="60"/>
      <c r="B121" s="7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 t="str">
        <f t="shared" si="1"/>
        <v/>
      </c>
      <c r="P121" s="60"/>
      <c r="Q121" s="60"/>
      <c r="R121" s="60"/>
      <c r="S121" s="60"/>
      <c r="T121" s="60"/>
    </row>
    <row r="122" ht="15.75" customHeight="1">
      <c r="A122" s="60"/>
      <c r="B122" s="7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 t="str">
        <f t="shared" si="1"/>
        <v/>
      </c>
      <c r="P122" s="60"/>
      <c r="Q122" s="60"/>
      <c r="R122" s="60"/>
      <c r="S122" s="60"/>
      <c r="T122" s="60"/>
    </row>
    <row r="123" ht="15.75" customHeight="1">
      <c r="A123" s="60"/>
      <c r="B123" s="7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 t="str">
        <f t="shared" si="1"/>
        <v/>
      </c>
      <c r="P123" s="60"/>
      <c r="Q123" s="60"/>
      <c r="R123" s="60"/>
      <c r="S123" s="60"/>
      <c r="T123" s="60"/>
    </row>
    <row r="124" ht="15.75" customHeight="1">
      <c r="A124" s="60"/>
      <c r="B124" s="7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 t="str">
        <f t="shared" si="1"/>
        <v/>
      </c>
      <c r="P124" s="60"/>
      <c r="Q124" s="60"/>
      <c r="R124" s="60"/>
      <c r="S124" s="60"/>
      <c r="T124" s="60"/>
    </row>
    <row r="125" ht="15.75" customHeight="1">
      <c r="A125" s="60"/>
      <c r="B125" s="7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 t="str">
        <f t="shared" si="1"/>
        <v/>
      </c>
      <c r="P125" s="60"/>
      <c r="Q125" s="60"/>
      <c r="R125" s="60"/>
      <c r="S125" s="60"/>
      <c r="T125" s="60"/>
    </row>
    <row r="126" ht="15.75" customHeight="1">
      <c r="A126" s="60"/>
      <c r="B126" s="7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 t="str">
        <f t="shared" si="1"/>
        <v/>
      </c>
      <c r="P126" s="60"/>
      <c r="Q126" s="60"/>
      <c r="R126" s="60"/>
      <c r="S126" s="60"/>
      <c r="T126" s="60"/>
    </row>
    <row r="127" ht="15.75" customHeight="1">
      <c r="A127" s="60"/>
      <c r="B127" s="7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 t="str">
        <f t="shared" si="1"/>
        <v/>
      </c>
      <c r="P127" s="60"/>
      <c r="Q127" s="60"/>
      <c r="R127" s="60"/>
      <c r="S127" s="60"/>
      <c r="T127" s="60"/>
    </row>
    <row r="128" ht="15.75" customHeight="1">
      <c r="A128" s="60"/>
      <c r="B128" s="7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 t="str">
        <f t="shared" si="1"/>
        <v/>
      </c>
      <c r="P128" s="60"/>
      <c r="Q128" s="60"/>
      <c r="R128" s="60"/>
      <c r="S128" s="60"/>
      <c r="T128" s="60"/>
    </row>
    <row r="129" ht="15.75" customHeight="1">
      <c r="A129" s="60"/>
      <c r="B129" s="7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 t="str">
        <f t="shared" si="1"/>
        <v/>
      </c>
      <c r="P129" s="60"/>
      <c r="Q129" s="60"/>
      <c r="R129" s="60"/>
      <c r="S129" s="60"/>
      <c r="T129" s="60"/>
    </row>
    <row r="130" ht="15.75" customHeight="1">
      <c r="A130" s="60"/>
      <c r="B130" s="7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 t="str">
        <f t="shared" si="1"/>
        <v/>
      </c>
      <c r="P130" s="60"/>
      <c r="Q130" s="60"/>
      <c r="R130" s="60"/>
      <c r="S130" s="60"/>
      <c r="T130" s="60"/>
    </row>
    <row r="131" ht="15.75" customHeight="1">
      <c r="A131" s="60"/>
      <c r="B131" s="7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 t="str">
        <f t="shared" si="1"/>
        <v/>
      </c>
      <c r="P131" s="60"/>
      <c r="Q131" s="60"/>
      <c r="R131" s="60"/>
      <c r="S131" s="60"/>
      <c r="T131" s="60"/>
    </row>
    <row r="132" ht="15.75" customHeight="1">
      <c r="A132" s="60"/>
      <c r="B132" s="7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 t="str">
        <f t="shared" si="1"/>
        <v/>
      </c>
      <c r="P132" s="60"/>
      <c r="Q132" s="60"/>
      <c r="R132" s="60"/>
      <c r="S132" s="60"/>
      <c r="T132" s="60"/>
    </row>
    <row r="133" ht="15.75" customHeight="1">
      <c r="A133" s="60"/>
      <c r="B133" s="7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 t="str">
        <f t="shared" si="1"/>
        <v/>
      </c>
      <c r="P133" s="60"/>
      <c r="Q133" s="60"/>
      <c r="R133" s="60"/>
      <c r="S133" s="60"/>
      <c r="T133" s="60"/>
    </row>
    <row r="134" ht="15.75" customHeight="1">
      <c r="A134" s="60"/>
      <c r="B134" s="7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 t="str">
        <f t="shared" si="1"/>
        <v/>
      </c>
      <c r="P134" s="60"/>
      <c r="Q134" s="60"/>
      <c r="R134" s="60"/>
      <c r="S134" s="60"/>
      <c r="T134" s="60"/>
    </row>
    <row r="135" ht="15.75" customHeight="1">
      <c r="A135" s="60"/>
      <c r="B135" s="7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 t="str">
        <f t="shared" si="1"/>
        <v/>
      </c>
      <c r="P135" s="60"/>
      <c r="Q135" s="60"/>
      <c r="R135" s="60"/>
      <c r="S135" s="60"/>
      <c r="T135" s="60"/>
    </row>
    <row r="136" ht="15.75" customHeight="1">
      <c r="A136" s="60"/>
      <c r="B136" s="7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 t="str">
        <f t="shared" si="1"/>
        <v/>
      </c>
      <c r="P136" s="60"/>
      <c r="Q136" s="60"/>
      <c r="R136" s="60"/>
      <c r="S136" s="60"/>
      <c r="T136" s="60"/>
    </row>
    <row r="137" ht="15.75" customHeight="1">
      <c r="A137" s="60"/>
      <c r="B137" s="7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 t="str">
        <f t="shared" si="1"/>
        <v/>
      </c>
      <c r="P137" s="60"/>
      <c r="Q137" s="60"/>
      <c r="R137" s="60"/>
      <c r="S137" s="60"/>
      <c r="T137" s="60"/>
    </row>
    <row r="138" ht="15.75" customHeight="1">
      <c r="A138" s="60"/>
      <c r="B138" s="7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 t="str">
        <f t="shared" si="1"/>
        <v/>
      </c>
      <c r="P138" s="60"/>
      <c r="Q138" s="60"/>
      <c r="R138" s="60"/>
      <c r="S138" s="60"/>
      <c r="T138" s="60"/>
    </row>
    <row r="139" ht="15.75" customHeight="1">
      <c r="A139" s="60"/>
      <c r="B139" s="7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 t="str">
        <f t="shared" si="1"/>
        <v/>
      </c>
      <c r="P139" s="60"/>
      <c r="Q139" s="60"/>
      <c r="R139" s="60"/>
      <c r="S139" s="60"/>
      <c r="T139" s="60"/>
    </row>
    <row r="140" ht="15.75" customHeight="1">
      <c r="A140" s="60"/>
      <c r="B140" s="7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 t="str">
        <f t="shared" si="1"/>
        <v/>
      </c>
      <c r="P140" s="60"/>
      <c r="Q140" s="60"/>
      <c r="R140" s="60"/>
      <c r="S140" s="60"/>
      <c r="T140" s="60"/>
    </row>
    <row r="141" ht="15.75" customHeight="1">
      <c r="A141" s="60"/>
      <c r="B141" s="7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 t="str">
        <f t="shared" si="1"/>
        <v/>
      </c>
      <c r="P141" s="60"/>
      <c r="Q141" s="60"/>
      <c r="R141" s="60"/>
      <c r="S141" s="60"/>
      <c r="T141" s="60"/>
    </row>
    <row r="142" ht="15.75" customHeight="1">
      <c r="A142" s="60"/>
      <c r="B142" s="7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 t="str">
        <f t="shared" si="1"/>
        <v/>
      </c>
      <c r="P142" s="60"/>
      <c r="Q142" s="60"/>
      <c r="R142" s="60"/>
      <c r="S142" s="60"/>
      <c r="T142" s="60"/>
    </row>
    <row r="143" ht="15.75" customHeight="1">
      <c r="A143" s="60"/>
      <c r="B143" s="7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 t="str">
        <f t="shared" si="1"/>
        <v/>
      </c>
      <c r="P143" s="60"/>
      <c r="Q143" s="60"/>
      <c r="R143" s="60"/>
      <c r="S143" s="60"/>
      <c r="T143" s="60"/>
    </row>
    <row r="144" ht="15.75" customHeight="1">
      <c r="A144" s="60"/>
      <c r="B144" s="7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 t="str">
        <f t="shared" si="1"/>
        <v/>
      </c>
      <c r="P144" s="60"/>
      <c r="Q144" s="60"/>
      <c r="R144" s="60"/>
      <c r="S144" s="60"/>
      <c r="T144" s="60"/>
    </row>
    <row r="145" ht="15.75" customHeight="1">
      <c r="A145" s="60"/>
      <c r="B145" s="7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 t="str">
        <f t="shared" si="1"/>
        <v/>
      </c>
      <c r="P145" s="60"/>
      <c r="Q145" s="60"/>
      <c r="R145" s="60"/>
      <c r="S145" s="60"/>
      <c r="T145" s="60"/>
    </row>
    <row r="146" ht="15.75" customHeight="1">
      <c r="A146" s="60"/>
      <c r="B146" s="7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 t="str">
        <f t="shared" si="1"/>
        <v/>
      </c>
      <c r="P146" s="60"/>
      <c r="Q146" s="60"/>
      <c r="R146" s="60"/>
      <c r="S146" s="60"/>
      <c r="T146" s="60"/>
    </row>
    <row r="147" ht="15.75" customHeight="1">
      <c r="A147" s="60"/>
      <c r="B147" s="7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 t="str">
        <f t="shared" si="1"/>
        <v/>
      </c>
      <c r="P147" s="60"/>
      <c r="Q147" s="60"/>
      <c r="R147" s="60"/>
      <c r="S147" s="60"/>
      <c r="T147" s="60"/>
    </row>
    <row r="148" ht="15.75" customHeight="1">
      <c r="A148" s="60"/>
      <c r="B148" s="7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 t="str">
        <f t="shared" si="1"/>
        <v/>
      </c>
      <c r="P148" s="60"/>
      <c r="Q148" s="60"/>
      <c r="R148" s="60"/>
      <c r="S148" s="60"/>
      <c r="T148" s="60"/>
    </row>
    <row r="149" ht="15.75" customHeight="1">
      <c r="A149" s="60"/>
      <c r="B149" s="7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 t="str">
        <f t="shared" si="1"/>
        <v/>
      </c>
      <c r="P149" s="60"/>
      <c r="Q149" s="60"/>
      <c r="R149" s="60"/>
      <c r="S149" s="60"/>
      <c r="T149" s="60"/>
    </row>
    <row r="150" ht="15.75" customHeight="1">
      <c r="A150" s="60"/>
      <c r="B150" s="7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 t="str">
        <f t="shared" si="1"/>
        <v/>
      </c>
      <c r="P150" s="60"/>
      <c r="Q150" s="60"/>
      <c r="R150" s="60"/>
      <c r="S150" s="60"/>
      <c r="T150" s="60"/>
    </row>
    <row r="151" ht="15.75" customHeight="1">
      <c r="A151" s="60"/>
      <c r="B151" s="7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 t="str">
        <f t="shared" si="1"/>
        <v/>
      </c>
      <c r="P151" s="60"/>
      <c r="Q151" s="60"/>
      <c r="R151" s="60"/>
      <c r="S151" s="60"/>
      <c r="T151" s="60"/>
    </row>
    <row r="152" ht="15.75" customHeight="1">
      <c r="A152" s="60"/>
      <c r="B152" s="7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 t="str">
        <f t="shared" si="1"/>
        <v/>
      </c>
      <c r="P152" s="60"/>
      <c r="Q152" s="60"/>
      <c r="R152" s="60"/>
      <c r="S152" s="60"/>
      <c r="T152" s="60"/>
    </row>
    <row r="153" ht="15.75" customHeight="1">
      <c r="A153" s="60"/>
      <c r="B153" s="7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 t="str">
        <f t="shared" si="1"/>
        <v/>
      </c>
      <c r="P153" s="60"/>
      <c r="Q153" s="60"/>
      <c r="R153" s="60"/>
      <c r="S153" s="60"/>
      <c r="T153" s="60"/>
    </row>
    <row r="154" ht="15.75" customHeight="1">
      <c r="A154" s="60"/>
      <c r="B154" s="7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 t="str">
        <f t="shared" si="1"/>
        <v/>
      </c>
      <c r="P154" s="60"/>
      <c r="Q154" s="60"/>
      <c r="R154" s="60"/>
      <c r="S154" s="60"/>
      <c r="T154" s="60"/>
    </row>
    <row r="155" ht="15.75" customHeight="1">
      <c r="A155" s="60"/>
      <c r="B155" s="7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 t="str">
        <f t="shared" si="1"/>
        <v/>
      </c>
      <c r="P155" s="60"/>
      <c r="Q155" s="60"/>
      <c r="R155" s="60"/>
      <c r="S155" s="60"/>
      <c r="T155" s="60"/>
    </row>
    <row r="156" ht="15.75" customHeight="1">
      <c r="A156" s="60"/>
      <c r="B156" s="7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 t="str">
        <f t="shared" si="1"/>
        <v/>
      </c>
      <c r="P156" s="60"/>
      <c r="Q156" s="60"/>
      <c r="R156" s="60"/>
      <c r="S156" s="60"/>
      <c r="T156" s="60"/>
    </row>
    <row r="157" ht="15.75" customHeight="1">
      <c r="A157" s="60"/>
      <c r="B157" s="7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 t="str">
        <f t="shared" si="1"/>
        <v/>
      </c>
      <c r="P157" s="60"/>
      <c r="Q157" s="60"/>
      <c r="R157" s="60"/>
      <c r="S157" s="60"/>
      <c r="T157" s="60"/>
    </row>
    <row r="158" ht="15.75" customHeight="1">
      <c r="A158" s="60"/>
      <c r="B158" s="7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 t="str">
        <f t="shared" si="1"/>
        <v/>
      </c>
      <c r="P158" s="60"/>
      <c r="Q158" s="60"/>
      <c r="R158" s="60"/>
      <c r="S158" s="60"/>
      <c r="T158" s="60"/>
    </row>
    <row r="159" ht="15.75" customHeight="1">
      <c r="A159" s="60"/>
      <c r="B159" s="7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 t="str">
        <f t="shared" si="1"/>
        <v/>
      </c>
      <c r="P159" s="60"/>
      <c r="Q159" s="60"/>
      <c r="R159" s="60"/>
      <c r="S159" s="60"/>
      <c r="T159" s="60"/>
    </row>
    <row r="160" ht="15.75" customHeight="1">
      <c r="A160" s="60"/>
      <c r="B160" s="7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 t="str">
        <f t="shared" si="1"/>
        <v/>
      </c>
      <c r="P160" s="60"/>
      <c r="Q160" s="60"/>
      <c r="R160" s="60"/>
      <c r="S160" s="60"/>
      <c r="T160" s="60"/>
    </row>
    <row r="161" ht="15.75" customHeight="1">
      <c r="A161" s="60"/>
      <c r="B161" s="7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 t="str">
        <f t="shared" si="1"/>
        <v/>
      </c>
      <c r="P161" s="60"/>
      <c r="Q161" s="60"/>
      <c r="R161" s="60"/>
      <c r="S161" s="60"/>
      <c r="T161" s="60"/>
    </row>
    <row r="162" ht="15.75" customHeight="1">
      <c r="A162" s="60"/>
      <c r="B162" s="7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 t="str">
        <f t="shared" si="1"/>
        <v/>
      </c>
      <c r="P162" s="60"/>
      <c r="Q162" s="60"/>
      <c r="R162" s="60"/>
      <c r="S162" s="60"/>
      <c r="T162" s="60"/>
    </row>
    <row r="163" ht="15.75" customHeight="1">
      <c r="A163" s="60"/>
      <c r="B163" s="7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 t="str">
        <f t="shared" si="1"/>
        <v/>
      </c>
      <c r="P163" s="60"/>
      <c r="Q163" s="60"/>
      <c r="R163" s="60"/>
      <c r="S163" s="60"/>
      <c r="T163" s="60"/>
    </row>
    <row r="164" ht="15.75" customHeight="1">
      <c r="A164" s="60"/>
      <c r="B164" s="7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 t="str">
        <f t="shared" si="1"/>
        <v/>
      </c>
      <c r="P164" s="60"/>
      <c r="Q164" s="60"/>
      <c r="R164" s="60"/>
      <c r="S164" s="60"/>
      <c r="T164" s="60"/>
    </row>
    <row r="165" ht="15.75" customHeight="1">
      <c r="A165" s="60"/>
      <c r="B165" s="7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 t="str">
        <f t="shared" si="1"/>
        <v/>
      </c>
      <c r="P165" s="60"/>
      <c r="Q165" s="60"/>
      <c r="R165" s="60"/>
      <c r="S165" s="60"/>
      <c r="T165" s="60"/>
    </row>
    <row r="166" ht="15.75" customHeight="1">
      <c r="A166" s="60"/>
      <c r="B166" s="7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 t="str">
        <f t="shared" si="1"/>
        <v/>
      </c>
      <c r="P166" s="60"/>
      <c r="Q166" s="60"/>
      <c r="R166" s="60"/>
      <c r="S166" s="60"/>
      <c r="T166" s="60"/>
    </row>
    <row r="167" ht="15.75" customHeight="1">
      <c r="A167" s="60"/>
      <c r="B167" s="7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 t="str">
        <f t="shared" si="1"/>
        <v/>
      </c>
      <c r="P167" s="60"/>
      <c r="Q167" s="60"/>
      <c r="R167" s="60"/>
      <c r="S167" s="60"/>
      <c r="T167" s="60"/>
    </row>
    <row r="168" ht="15.75" customHeight="1">
      <c r="A168" s="60"/>
      <c r="B168" s="7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 t="str">
        <f t="shared" si="1"/>
        <v/>
      </c>
      <c r="P168" s="60"/>
      <c r="Q168" s="60"/>
      <c r="R168" s="60"/>
      <c r="S168" s="60"/>
      <c r="T168" s="60"/>
    </row>
    <row r="169" ht="15.75" customHeight="1">
      <c r="A169" s="60"/>
      <c r="B169" s="7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 t="str">
        <f t="shared" si="1"/>
        <v/>
      </c>
      <c r="P169" s="60"/>
      <c r="Q169" s="60"/>
      <c r="R169" s="60"/>
      <c r="S169" s="60"/>
      <c r="T169" s="60"/>
    </row>
    <row r="170" ht="15.75" customHeight="1">
      <c r="A170" s="60"/>
      <c r="B170" s="7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 t="str">
        <f t="shared" si="1"/>
        <v/>
      </c>
      <c r="P170" s="60"/>
      <c r="Q170" s="60"/>
      <c r="R170" s="60"/>
      <c r="S170" s="60"/>
      <c r="T170" s="60"/>
    </row>
    <row r="171" ht="15.75" customHeight="1">
      <c r="A171" s="60"/>
      <c r="B171" s="7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 t="str">
        <f t="shared" si="1"/>
        <v/>
      </c>
      <c r="P171" s="60"/>
      <c r="Q171" s="60"/>
      <c r="R171" s="60"/>
      <c r="S171" s="60"/>
      <c r="T171" s="60"/>
    </row>
    <row r="172" ht="15.75" customHeight="1">
      <c r="A172" s="60"/>
      <c r="B172" s="7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 t="str">
        <f t="shared" si="1"/>
        <v/>
      </c>
      <c r="P172" s="60"/>
      <c r="Q172" s="60"/>
      <c r="R172" s="60"/>
      <c r="S172" s="60"/>
      <c r="T172" s="60"/>
    </row>
    <row r="173" ht="15.75" customHeight="1">
      <c r="A173" s="60"/>
      <c r="B173" s="7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 t="str">
        <f t="shared" si="1"/>
        <v/>
      </c>
      <c r="P173" s="60"/>
      <c r="Q173" s="60"/>
      <c r="R173" s="60"/>
      <c r="S173" s="60"/>
      <c r="T173" s="60"/>
    </row>
    <row r="174" ht="15.75" customHeight="1">
      <c r="A174" s="60"/>
      <c r="B174" s="7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 t="str">
        <f t="shared" si="1"/>
        <v/>
      </c>
      <c r="P174" s="60"/>
      <c r="Q174" s="60"/>
      <c r="R174" s="60"/>
      <c r="S174" s="60"/>
      <c r="T174" s="60"/>
    </row>
    <row r="175" ht="15.75" customHeight="1">
      <c r="A175" s="60"/>
      <c r="B175" s="7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 t="str">
        <f t="shared" si="1"/>
        <v/>
      </c>
      <c r="P175" s="60"/>
      <c r="Q175" s="60"/>
      <c r="R175" s="60"/>
      <c r="S175" s="60"/>
      <c r="T175" s="60"/>
    </row>
    <row r="176" ht="15.75" customHeight="1">
      <c r="A176" s="60"/>
      <c r="B176" s="7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 t="str">
        <f t="shared" si="1"/>
        <v/>
      </c>
      <c r="P176" s="60"/>
      <c r="Q176" s="60"/>
      <c r="R176" s="60"/>
      <c r="S176" s="60"/>
      <c r="T176" s="60"/>
    </row>
    <row r="177" ht="15.75" customHeight="1">
      <c r="A177" s="60"/>
      <c r="B177" s="7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 t="str">
        <f t="shared" si="1"/>
        <v/>
      </c>
      <c r="P177" s="60"/>
      <c r="Q177" s="60"/>
      <c r="R177" s="60"/>
      <c r="S177" s="60"/>
      <c r="T177" s="60"/>
    </row>
    <row r="178" ht="15.75" customHeight="1">
      <c r="A178" s="60"/>
      <c r="B178" s="7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 t="str">
        <f t="shared" si="1"/>
        <v/>
      </c>
      <c r="P178" s="60"/>
      <c r="Q178" s="60"/>
      <c r="R178" s="60"/>
      <c r="S178" s="60"/>
      <c r="T178" s="60"/>
    </row>
    <row r="179" ht="15.75" customHeight="1">
      <c r="A179" s="60"/>
      <c r="B179" s="7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 t="str">
        <f t="shared" si="1"/>
        <v/>
      </c>
      <c r="P179" s="60"/>
      <c r="Q179" s="60"/>
      <c r="R179" s="60"/>
      <c r="S179" s="60"/>
      <c r="T179" s="60"/>
    </row>
    <row r="180" ht="15.75" customHeight="1">
      <c r="A180" s="60"/>
      <c r="B180" s="7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 t="str">
        <f t="shared" si="1"/>
        <v/>
      </c>
      <c r="P180" s="60"/>
      <c r="Q180" s="60"/>
      <c r="R180" s="60"/>
      <c r="S180" s="60"/>
      <c r="T180" s="60"/>
    </row>
    <row r="181" ht="15.75" customHeight="1">
      <c r="A181" s="60"/>
      <c r="B181" s="7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 t="str">
        <f t="shared" si="1"/>
        <v/>
      </c>
      <c r="P181" s="60"/>
      <c r="Q181" s="60"/>
      <c r="R181" s="60"/>
      <c r="S181" s="60"/>
      <c r="T181" s="60"/>
    </row>
    <row r="182" ht="15.75" customHeight="1">
      <c r="A182" s="60"/>
      <c r="B182" s="7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 t="str">
        <f t="shared" si="1"/>
        <v/>
      </c>
      <c r="P182" s="60"/>
      <c r="Q182" s="60"/>
      <c r="R182" s="60"/>
      <c r="S182" s="60"/>
      <c r="T182" s="60"/>
    </row>
    <row r="183" ht="15.75" customHeight="1">
      <c r="A183" s="60"/>
      <c r="B183" s="7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 t="str">
        <f t="shared" si="1"/>
        <v/>
      </c>
      <c r="P183" s="60"/>
      <c r="Q183" s="60"/>
      <c r="R183" s="60"/>
      <c r="S183" s="60"/>
      <c r="T183" s="60"/>
    </row>
    <row r="184" ht="15.75" customHeight="1">
      <c r="A184" s="60"/>
      <c r="B184" s="7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 t="str">
        <f t="shared" si="1"/>
        <v/>
      </c>
      <c r="P184" s="60"/>
      <c r="Q184" s="60"/>
      <c r="R184" s="60"/>
      <c r="S184" s="60"/>
      <c r="T184" s="60"/>
    </row>
    <row r="185" ht="15.75" customHeight="1">
      <c r="A185" s="60"/>
      <c r="B185" s="7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 t="str">
        <f t="shared" si="1"/>
        <v/>
      </c>
      <c r="P185" s="60"/>
      <c r="Q185" s="60"/>
      <c r="R185" s="60"/>
      <c r="S185" s="60"/>
      <c r="T185" s="60"/>
    </row>
    <row r="186" ht="15.75" customHeight="1">
      <c r="A186" s="60"/>
      <c r="B186" s="7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 t="str">
        <f t="shared" si="1"/>
        <v/>
      </c>
      <c r="P186" s="60"/>
      <c r="Q186" s="60"/>
      <c r="R186" s="60"/>
      <c r="S186" s="60"/>
      <c r="T186" s="60"/>
    </row>
    <row r="187" ht="15.75" customHeight="1">
      <c r="A187" s="60"/>
      <c r="B187" s="7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 t="str">
        <f t="shared" si="1"/>
        <v/>
      </c>
      <c r="P187" s="60"/>
      <c r="Q187" s="60"/>
      <c r="R187" s="60"/>
      <c r="S187" s="60"/>
      <c r="T187" s="60"/>
    </row>
    <row r="188" ht="15.75" customHeight="1">
      <c r="A188" s="60"/>
      <c r="B188" s="7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 t="str">
        <f t="shared" si="1"/>
        <v/>
      </c>
      <c r="P188" s="60"/>
      <c r="Q188" s="60"/>
      <c r="R188" s="60"/>
      <c r="S188" s="60"/>
      <c r="T188" s="60"/>
    </row>
    <row r="189" ht="15.75" customHeight="1">
      <c r="A189" s="60"/>
      <c r="B189" s="7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 t="str">
        <f t="shared" si="1"/>
        <v/>
      </c>
      <c r="P189" s="60"/>
      <c r="Q189" s="60"/>
      <c r="R189" s="60"/>
      <c r="S189" s="60"/>
      <c r="T189" s="60"/>
    </row>
    <row r="190" ht="15.75" customHeight="1">
      <c r="A190" s="60"/>
      <c r="B190" s="7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 t="str">
        <f t="shared" si="1"/>
        <v/>
      </c>
      <c r="P190" s="60"/>
      <c r="Q190" s="60"/>
      <c r="R190" s="60"/>
      <c r="S190" s="60"/>
      <c r="T190" s="60"/>
    </row>
    <row r="191" ht="15.75" customHeight="1">
      <c r="A191" s="60"/>
      <c r="B191" s="7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 t="str">
        <f t="shared" si="1"/>
        <v/>
      </c>
      <c r="P191" s="60"/>
      <c r="Q191" s="60"/>
      <c r="R191" s="60"/>
      <c r="S191" s="60"/>
      <c r="T191" s="60"/>
    </row>
    <row r="192" ht="15.75" customHeight="1">
      <c r="A192" s="60"/>
      <c r="B192" s="7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 t="str">
        <f t="shared" si="1"/>
        <v/>
      </c>
      <c r="P192" s="60"/>
      <c r="Q192" s="60"/>
      <c r="R192" s="60"/>
      <c r="S192" s="60"/>
      <c r="T192" s="60"/>
    </row>
    <row r="193" ht="15.75" customHeight="1">
      <c r="A193" s="60"/>
      <c r="B193" s="7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 t="str">
        <f t="shared" si="1"/>
        <v/>
      </c>
      <c r="P193" s="60"/>
      <c r="Q193" s="60"/>
      <c r="R193" s="60"/>
      <c r="S193" s="60"/>
      <c r="T193" s="60"/>
    </row>
    <row r="194" ht="15.75" customHeight="1">
      <c r="A194" s="60"/>
      <c r="B194" s="7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 t="str">
        <f t="shared" si="1"/>
        <v/>
      </c>
      <c r="P194" s="60"/>
      <c r="Q194" s="60"/>
      <c r="R194" s="60"/>
      <c r="S194" s="60"/>
      <c r="T194" s="60"/>
    </row>
    <row r="195" ht="15.75" customHeight="1">
      <c r="A195" s="60"/>
      <c r="B195" s="7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 t="str">
        <f t="shared" si="1"/>
        <v/>
      </c>
      <c r="P195" s="60"/>
      <c r="Q195" s="60"/>
      <c r="R195" s="60"/>
      <c r="S195" s="60"/>
      <c r="T195" s="60"/>
    </row>
    <row r="196" ht="15.75" customHeight="1">
      <c r="A196" s="60"/>
      <c r="B196" s="7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 t="str">
        <f t="shared" si="1"/>
        <v/>
      </c>
      <c r="P196" s="60"/>
      <c r="Q196" s="60"/>
      <c r="R196" s="60"/>
      <c r="S196" s="60"/>
      <c r="T196" s="60"/>
    </row>
    <row r="197" ht="15.75" customHeight="1">
      <c r="A197" s="60"/>
      <c r="B197" s="7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 t="str">
        <f t="shared" si="1"/>
        <v/>
      </c>
      <c r="P197" s="60"/>
      <c r="Q197" s="60"/>
      <c r="R197" s="60"/>
      <c r="S197" s="60"/>
      <c r="T197" s="60"/>
    </row>
    <row r="198" ht="15.75" customHeight="1">
      <c r="A198" s="60"/>
      <c r="B198" s="7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 t="str">
        <f t="shared" si="1"/>
        <v/>
      </c>
      <c r="P198" s="60"/>
      <c r="Q198" s="60"/>
      <c r="R198" s="60"/>
      <c r="S198" s="60"/>
      <c r="T198" s="60"/>
    </row>
    <row r="199" ht="15.75" customHeight="1">
      <c r="A199" s="60"/>
      <c r="B199" s="7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 t="str">
        <f t="shared" si="1"/>
        <v/>
      </c>
      <c r="P199" s="60"/>
      <c r="Q199" s="60"/>
      <c r="R199" s="60"/>
      <c r="S199" s="60"/>
      <c r="T199" s="60"/>
    </row>
    <row r="200" ht="15.75" customHeight="1">
      <c r="A200" s="60"/>
      <c r="B200" s="7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 t="str">
        <f t="shared" si="1"/>
        <v/>
      </c>
      <c r="P200" s="60"/>
      <c r="Q200" s="60"/>
      <c r="R200" s="60"/>
      <c r="S200" s="60"/>
      <c r="T200" s="60"/>
    </row>
    <row r="201" ht="15.75" customHeight="1">
      <c r="A201" s="60"/>
      <c r="B201" s="7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 t="str">
        <f t="shared" si="1"/>
        <v/>
      </c>
      <c r="P201" s="60"/>
      <c r="Q201" s="60"/>
      <c r="R201" s="60"/>
      <c r="S201" s="60"/>
      <c r="T201" s="60"/>
    </row>
    <row r="202" ht="15.75" customHeight="1">
      <c r="A202" s="60"/>
      <c r="B202" s="7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 t="str">
        <f t="shared" si="1"/>
        <v/>
      </c>
      <c r="P202" s="60"/>
      <c r="Q202" s="60"/>
      <c r="R202" s="60"/>
      <c r="S202" s="60"/>
      <c r="T202" s="60"/>
    </row>
    <row r="203" ht="15.75" customHeight="1">
      <c r="A203" s="60"/>
      <c r="B203" s="7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 t="str">
        <f t="shared" si="1"/>
        <v/>
      </c>
      <c r="P203" s="60"/>
      <c r="Q203" s="60"/>
      <c r="R203" s="60"/>
      <c r="S203" s="60"/>
      <c r="T203" s="60"/>
    </row>
    <row r="204" ht="15.75" customHeight="1">
      <c r="A204" s="60"/>
      <c r="B204" s="7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 t="str">
        <f t="shared" si="1"/>
        <v/>
      </c>
      <c r="P204" s="60"/>
      <c r="Q204" s="60"/>
      <c r="R204" s="60"/>
      <c r="S204" s="60"/>
      <c r="T204" s="60"/>
    </row>
    <row r="205" ht="15.75" customHeight="1">
      <c r="A205" s="60"/>
      <c r="B205" s="7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 t="str">
        <f t="shared" si="1"/>
        <v/>
      </c>
      <c r="P205" s="60"/>
      <c r="Q205" s="60"/>
      <c r="R205" s="60"/>
      <c r="S205" s="60"/>
      <c r="T205" s="60"/>
    </row>
    <row r="206" ht="15.75" customHeight="1">
      <c r="A206" s="60"/>
      <c r="B206" s="7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 t="str">
        <f t="shared" si="1"/>
        <v/>
      </c>
      <c r="P206" s="60"/>
      <c r="Q206" s="60"/>
      <c r="R206" s="60"/>
      <c r="S206" s="60"/>
      <c r="T206" s="60"/>
    </row>
    <row r="207" ht="15.75" customHeight="1">
      <c r="A207" s="60"/>
      <c r="B207" s="7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 t="str">
        <f t="shared" si="1"/>
        <v/>
      </c>
      <c r="P207" s="60"/>
      <c r="Q207" s="60"/>
      <c r="R207" s="60"/>
      <c r="S207" s="60"/>
      <c r="T207" s="60"/>
    </row>
    <row r="208" ht="15.75" customHeight="1">
      <c r="A208" s="60"/>
      <c r="B208" s="7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 t="str">
        <f t="shared" si="1"/>
        <v/>
      </c>
      <c r="P208" s="60"/>
      <c r="Q208" s="60"/>
      <c r="R208" s="60"/>
      <c r="S208" s="60"/>
      <c r="T208" s="60"/>
    </row>
    <row r="209" ht="15.75" customHeight="1">
      <c r="A209" s="60"/>
      <c r="B209" s="7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 t="str">
        <f t="shared" si="1"/>
        <v/>
      </c>
      <c r="P209" s="60"/>
      <c r="Q209" s="60"/>
      <c r="R209" s="60"/>
      <c r="S209" s="60"/>
      <c r="T209" s="60"/>
    </row>
    <row r="210" ht="15.75" customHeight="1">
      <c r="A210" s="60"/>
      <c r="B210" s="7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 t="str">
        <f t="shared" si="1"/>
        <v/>
      </c>
      <c r="P210" s="60"/>
      <c r="Q210" s="60"/>
      <c r="R210" s="60"/>
      <c r="S210" s="60"/>
      <c r="T210" s="60"/>
    </row>
    <row r="211" ht="15.75" customHeight="1">
      <c r="A211" s="60"/>
      <c r="B211" s="7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 t="str">
        <f t="shared" si="1"/>
        <v/>
      </c>
      <c r="P211" s="60"/>
      <c r="Q211" s="60"/>
      <c r="R211" s="60"/>
      <c r="S211" s="60"/>
      <c r="T211" s="60"/>
    </row>
    <row r="212" ht="15.75" customHeight="1">
      <c r="A212" s="60"/>
      <c r="B212" s="7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 t="str">
        <f t="shared" si="1"/>
        <v/>
      </c>
      <c r="P212" s="60"/>
      <c r="Q212" s="60"/>
      <c r="R212" s="60"/>
      <c r="S212" s="60"/>
      <c r="T212" s="60"/>
    </row>
    <row r="213" ht="15.75" customHeight="1">
      <c r="A213" s="60"/>
      <c r="B213" s="7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 t="str">
        <f t="shared" si="1"/>
        <v/>
      </c>
      <c r="P213" s="60"/>
      <c r="Q213" s="60"/>
      <c r="R213" s="60"/>
      <c r="S213" s="60"/>
      <c r="T213" s="60"/>
    </row>
    <row r="214" ht="15.75" customHeight="1">
      <c r="A214" s="60"/>
      <c r="B214" s="7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 t="str">
        <f t="shared" si="1"/>
        <v/>
      </c>
      <c r="P214" s="60"/>
      <c r="Q214" s="60"/>
      <c r="R214" s="60"/>
      <c r="S214" s="60"/>
      <c r="T214" s="60"/>
    </row>
    <row r="215" ht="15.75" customHeight="1">
      <c r="A215" s="60"/>
      <c r="B215" s="7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 t="str">
        <f t="shared" si="1"/>
        <v/>
      </c>
      <c r="P215" s="60"/>
      <c r="Q215" s="60"/>
      <c r="R215" s="60"/>
      <c r="S215" s="60"/>
      <c r="T215" s="60"/>
    </row>
    <row r="216" ht="15.75" customHeight="1">
      <c r="A216" s="60"/>
      <c r="B216" s="7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 t="str">
        <f t="shared" si="1"/>
        <v/>
      </c>
      <c r="P216" s="60"/>
      <c r="Q216" s="60"/>
      <c r="R216" s="60"/>
      <c r="S216" s="60"/>
      <c r="T216" s="60"/>
    </row>
    <row r="217" ht="15.75" customHeight="1">
      <c r="A217" s="60"/>
      <c r="B217" s="7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 t="str">
        <f t="shared" si="1"/>
        <v/>
      </c>
      <c r="P217" s="60"/>
      <c r="Q217" s="60"/>
      <c r="R217" s="60"/>
      <c r="S217" s="60"/>
      <c r="T217" s="60"/>
    </row>
    <row r="218" ht="15.75" customHeight="1">
      <c r="A218" s="60"/>
      <c r="B218" s="7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 t="str">
        <f t="shared" si="1"/>
        <v/>
      </c>
      <c r="P218" s="60"/>
      <c r="Q218" s="60"/>
      <c r="R218" s="60"/>
      <c r="S218" s="60"/>
      <c r="T218" s="60"/>
    </row>
    <row r="219" ht="15.75" customHeight="1">
      <c r="A219" s="60"/>
      <c r="B219" s="7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 t="str">
        <f t="shared" si="1"/>
        <v/>
      </c>
      <c r="P219" s="60"/>
      <c r="Q219" s="60"/>
      <c r="R219" s="60"/>
      <c r="S219" s="60"/>
      <c r="T219" s="60"/>
    </row>
    <row r="220" ht="15.75" customHeight="1">
      <c r="A220" s="60"/>
      <c r="B220" s="7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 t="str">
        <f t="shared" si="1"/>
        <v/>
      </c>
      <c r="P220" s="60"/>
      <c r="Q220" s="60"/>
      <c r="R220" s="60"/>
      <c r="S220" s="60"/>
      <c r="T220" s="60"/>
    </row>
    <row r="221" ht="15.75" customHeight="1">
      <c r="A221" s="60"/>
      <c r="B221" s="7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 t="str">
        <f t="shared" si="1"/>
        <v/>
      </c>
      <c r="P221" s="60"/>
      <c r="Q221" s="60"/>
      <c r="R221" s="60"/>
      <c r="S221" s="60"/>
      <c r="T221" s="60"/>
    </row>
    <row r="222" ht="15.75" customHeight="1">
      <c r="A222" s="60"/>
      <c r="B222" s="7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 t="str">
        <f t="shared" si="1"/>
        <v/>
      </c>
      <c r="P222" s="60"/>
      <c r="Q222" s="60"/>
      <c r="R222" s="60"/>
      <c r="S222" s="60"/>
      <c r="T222" s="60"/>
    </row>
    <row r="223" ht="15.75" customHeight="1">
      <c r="A223" s="60"/>
      <c r="B223" s="7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 t="str">
        <f t="shared" si="1"/>
        <v/>
      </c>
      <c r="P223" s="60"/>
      <c r="Q223" s="60"/>
      <c r="R223" s="60"/>
      <c r="S223" s="60"/>
      <c r="T223" s="60"/>
    </row>
    <row r="224" ht="15.75" customHeight="1">
      <c r="A224" s="60"/>
      <c r="B224" s="7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 t="str">
        <f t="shared" si="1"/>
        <v/>
      </c>
      <c r="P224" s="60"/>
      <c r="Q224" s="60"/>
      <c r="R224" s="60"/>
      <c r="S224" s="60"/>
      <c r="T224" s="60"/>
    </row>
    <row r="225" ht="15.75" customHeight="1">
      <c r="A225" s="60"/>
      <c r="B225" s="7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 t="str">
        <f t="shared" si="1"/>
        <v/>
      </c>
      <c r="P225" s="60"/>
      <c r="Q225" s="60"/>
      <c r="R225" s="60"/>
      <c r="S225" s="60"/>
      <c r="T225" s="60"/>
    </row>
    <row r="226" ht="15.75" customHeight="1">
      <c r="A226" s="60"/>
      <c r="B226" s="7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 t="str">
        <f t="shared" si="1"/>
        <v/>
      </c>
      <c r="P226" s="60"/>
      <c r="Q226" s="60"/>
      <c r="R226" s="60"/>
      <c r="S226" s="60"/>
      <c r="T226" s="60"/>
    </row>
    <row r="227" ht="15.75" customHeight="1">
      <c r="A227" s="60"/>
      <c r="B227" s="7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 t="str">
        <f t="shared" si="1"/>
        <v/>
      </c>
      <c r="P227" s="60"/>
      <c r="Q227" s="60"/>
      <c r="R227" s="60"/>
      <c r="S227" s="60"/>
      <c r="T227" s="60"/>
    </row>
    <row r="228" ht="15.75" customHeight="1">
      <c r="A228" s="60"/>
      <c r="B228" s="7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 t="str">
        <f t="shared" si="1"/>
        <v/>
      </c>
      <c r="P228" s="60"/>
      <c r="Q228" s="60"/>
      <c r="R228" s="60"/>
      <c r="S228" s="60"/>
      <c r="T228" s="60"/>
    </row>
    <row r="229" ht="15.75" customHeight="1">
      <c r="A229" s="60"/>
      <c r="B229" s="7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 t="str">
        <f t="shared" si="1"/>
        <v/>
      </c>
      <c r="P229" s="60"/>
      <c r="Q229" s="60"/>
      <c r="R229" s="60"/>
      <c r="S229" s="60"/>
      <c r="T229" s="60"/>
    </row>
    <row r="230" ht="15.75" customHeight="1">
      <c r="A230" s="60"/>
      <c r="B230" s="7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 t="str">
        <f t="shared" si="1"/>
        <v/>
      </c>
      <c r="P230" s="60"/>
      <c r="Q230" s="60"/>
      <c r="R230" s="60"/>
      <c r="S230" s="60"/>
      <c r="T230" s="60"/>
    </row>
    <row r="231" ht="15.75" customHeight="1">
      <c r="A231" s="60"/>
      <c r="B231" s="7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 t="str">
        <f t="shared" si="1"/>
        <v/>
      </c>
      <c r="P231" s="60"/>
      <c r="Q231" s="60"/>
      <c r="R231" s="60"/>
      <c r="S231" s="60"/>
      <c r="T231" s="60"/>
    </row>
    <row r="232" ht="15.75" customHeight="1">
      <c r="A232" s="60"/>
      <c r="B232" s="7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 t="str">
        <f t="shared" si="1"/>
        <v/>
      </c>
      <c r="P232" s="60"/>
      <c r="Q232" s="60"/>
      <c r="R232" s="60"/>
      <c r="S232" s="60"/>
      <c r="T232" s="60"/>
    </row>
    <row r="233" ht="15.75" customHeight="1">
      <c r="A233" s="60"/>
      <c r="B233" s="7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 t="str">
        <f t="shared" si="1"/>
        <v/>
      </c>
      <c r="P233" s="60"/>
      <c r="Q233" s="60"/>
      <c r="R233" s="60"/>
      <c r="S233" s="60"/>
      <c r="T233" s="60"/>
    </row>
    <row r="234" ht="15.75" customHeight="1">
      <c r="A234" s="60"/>
      <c r="B234" s="7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 t="str">
        <f t="shared" si="1"/>
        <v/>
      </c>
      <c r="P234" s="60"/>
      <c r="Q234" s="60"/>
      <c r="R234" s="60"/>
      <c r="S234" s="60"/>
      <c r="T234" s="60"/>
    </row>
    <row r="235" ht="15.75" customHeight="1">
      <c r="A235" s="60"/>
      <c r="B235" s="7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 t="str">
        <f t="shared" si="1"/>
        <v/>
      </c>
      <c r="P235" s="60"/>
      <c r="Q235" s="60"/>
      <c r="R235" s="60"/>
      <c r="S235" s="60"/>
      <c r="T235" s="60"/>
    </row>
    <row r="236" ht="15.75" customHeight="1">
      <c r="A236" s="60"/>
      <c r="B236" s="7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 t="str">
        <f t="shared" si="1"/>
        <v/>
      </c>
      <c r="P236" s="60"/>
      <c r="Q236" s="60"/>
      <c r="R236" s="60"/>
      <c r="S236" s="60"/>
      <c r="T236" s="60"/>
    </row>
    <row r="237" ht="15.75" customHeight="1">
      <c r="A237" s="60"/>
      <c r="B237" s="7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 t="str">
        <f t="shared" si="1"/>
        <v/>
      </c>
      <c r="P237" s="60"/>
      <c r="Q237" s="60"/>
      <c r="R237" s="60"/>
      <c r="S237" s="60"/>
      <c r="T237" s="60"/>
    </row>
    <row r="238" ht="15.75" customHeight="1">
      <c r="A238" s="60"/>
      <c r="B238" s="7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 t="str">
        <f t="shared" si="1"/>
        <v/>
      </c>
      <c r="P238" s="60"/>
      <c r="Q238" s="60"/>
      <c r="R238" s="60"/>
      <c r="S238" s="60"/>
      <c r="T238" s="60"/>
    </row>
    <row r="239" ht="15.75" customHeight="1">
      <c r="A239" s="60"/>
      <c r="B239" s="7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 t="str">
        <f t="shared" si="1"/>
        <v/>
      </c>
      <c r="P239" s="60"/>
      <c r="Q239" s="60"/>
      <c r="R239" s="60"/>
      <c r="S239" s="60"/>
      <c r="T239" s="60"/>
    </row>
    <row r="240" ht="15.75" customHeight="1">
      <c r="A240" s="60"/>
      <c r="B240" s="7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 t="str">
        <f t="shared" si="1"/>
        <v/>
      </c>
      <c r="P240" s="60"/>
      <c r="Q240" s="60"/>
      <c r="R240" s="60"/>
      <c r="S240" s="60"/>
      <c r="T240" s="60"/>
    </row>
    <row r="241" ht="15.75" customHeight="1">
      <c r="A241" s="60"/>
      <c r="B241" s="7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 t="str">
        <f t="shared" si="1"/>
        <v/>
      </c>
      <c r="P241" s="60"/>
      <c r="Q241" s="60"/>
      <c r="R241" s="60"/>
      <c r="S241" s="60"/>
      <c r="T241" s="60"/>
    </row>
    <row r="242" ht="15.75" customHeight="1">
      <c r="A242" s="60"/>
      <c r="B242" s="7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 t="str">
        <f t="shared" si="1"/>
        <v/>
      </c>
      <c r="P242" s="60"/>
      <c r="Q242" s="60"/>
      <c r="R242" s="60"/>
      <c r="S242" s="60"/>
      <c r="T242" s="60"/>
    </row>
    <row r="243" ht="15.75" customHeight="1">
      <c r="A243" s="60"/>
      <c r="B243" s="7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 t="str">
        <f t="shared" si="1"/>
        <v/>
      </c>
      <c r="P243" s="60"/>
      <c r="Q243" s="60"/>
      <c r="R243" s="60"/>
      <c r="S243" s="60"/>
      <c r="T243" s="60"/>
    </row>
    <row r="244" ht="15.75" customHeight="1">
      <c r="A244" s="60"/>
      <c r="B244" s="7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 t="str">
        <f t="shared" si="1"/>
        <v/>
      </c>
      <c r="P244" s="60"/>
      <c r="Q244" s="60"/>
      <c r="R244" s="60"/>
      <c r="S244" s="60"/>
      <c r="T244" s="60"/>
    </row>
    <row r="245" ht="15.75" customHeight="1">
      <c r="A245" s="60"/>
      <c r="B245" s="7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 t="str">
        <f t="shared" si="1"/>
        <v/>
      </c>
      <c r="P245" s="60"/>
      <c r="Q245" s="60"/>
      <c r="R245" s="60"/>
      <c r="S245" s="60"/>
      <c r="T245" s="60"/>
    </row>
    <row r="246" ht="15.75" customHeight="1">
      <c r="A246" s="60"/>
      <c r="B246" s="7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 t="str">
        <f t="shared" si="1"/>
        <v/>
      </c>
      <c r="P246" s="60"/>
      <c r="Q246" s="60"/>
      <c r="R246" s="60"/>
      <c r="S246" s="60"/>
      <c r="T246" s="60"/>
    </row>
    <row r="247" ht="15.75" customHeight="1">
      <c r="A247" s="60"/>
      <c r="B247" s="7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 t="str">
        <f t="shared" si="1"/>
        <v/>
      </c>
      <c r="P247" s="60"/>
      <c r="Q247" s="60"/>
      <c r="R247" s="60"/>
      <c r="S247" s="60"/>
      <c r="T247" s="60"/>
    </row>
    <row r="248" ht="15.75" customHeight="1">
      <c r="A248" s="60"/>
      <c r="B248" s="7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 t="str">
        <f t="shared" si="1"/>
        <v/>
      </c>
      <c r="P248" s="60"/>
      <c r="Q248" s="60"/>
      <c r="R248" s="60"/>
      <c r="S248" s="60"/>
      <c r="T248" s="60"/>
    </row>
    <row r="249" ht="15.75" customHeight="1">
      <c r="A249" s="60"/>
      <c r="B249" s="7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 t="str">
        <f t="shared" si="1"/>
        <v/>
      </c>
      <c r="P249" s="60"/>
      <c r="Q249" s="60"/>
      <c r="R249" s="60"/>
      <c r="S249" s="60"/>
      <c r="T249" s="60"/>
    </row>
    <row r="250" ht="15.75" customHeight="1">
      <c r="A250" s="60"/>
      <c r="B250" s="7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 t="str">
        <f t="shared" si="1"/>
        <v/>
      </c>
      <c r="P250" s="60"/>
      <c r="Q250" s="60"/>
      <c r="R250" s="60"/>
      <c r="S250" s="60"/>
      <c r="T250" s="60"/>
    </row>
    <row r="251" ht="15.75" customHeight="1">
      <c r="A251" s="60"/>
      <c r="B251" s="7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 t="str">
        <f t="shared" si="1"/>
        <v/>
      </c>
      <c r="P251" s="60"/>
      <c r="Q251" s="60"/>
      <c r="R251" s="60"/>
      <c r="S251" s="60"/>
      <c r="T251" s="60"/>
    </row>
    <row r="252" ht="15.75" customHeight="1">
      <c r="A252" s="60"/>
      <c r="B252" s="7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 t="str">
        <f t="shared" si="1"/>
        <v/>
      </c>
      <c r="P252" s="60"/>
      <c r="Q252" s="60"/>
      <c r="R252" s="60"/>
      <c r="S252" s="60"/>
      <c r="T252" s="60"/>
    </row>
    <row r="253" ht="15.75" customHeight="1">
      <c r="A253" s="60"/>
      <c r="B253" s="7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 t="str">
        <f t="shared" si="1"/>
        <v/>
      </c>
      <c r="P253" s="60"/>
      <c r="Q253" s="60"/>
      <c r="R253" s="60"/>
      <c r="S253" s="60"/>
      <c r="T253" s="60"/>
    </row>
    <row r="254" ht="15.75" customHeight="1">
      <c r="A254" s="60"/>
      <c r="B254" s="7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 t="str">
        <f t="shared" si="1"/>
        <v/>
      </c>
      <c r="P254" s="60"/>
      <c r="Q254" s="60"/>
      <c r="R254" s="60"/>
      <c r="S254" s="60"/>
      <c r="T254" s="60"/>
    </row>
    <row r="255" ht="15.75" customHeight="1">
      <c r="A255" s="60"/>
      <c r="B255" s="7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 t="str">
        <f t="shared" si="1"/>
        <v/>
      </c>
      <c r="P255" s="60"/>
      <c r="Q255" s="60"/>
      <c r="R255" s="60"/>
      <c r="S255" s="60"/>
      <c r="T255" s="60"/>
    </row>
    <row r="256" ht="15.75" customHeight="1">
      <c r="A256" s="60"/>
      <c r="B256" s="7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 t="str">
        <f t="shared" si="1"/>
        <v/>
      </c>
      <c r="P256" s="60"/>
      <c r="Q256" s="60"/>
      <c r="R256" s="60"/>
      <c r="S256" s="60"/>
      <c r="T256" s="60"/>
    </row>
    <row r="257" ht="15.75" customHeight="1">
      <c r="A257" s="60"/>
      <c r="B257" s="7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 t="str">
        <f t="shared" si="1"/>
        <v/>
      </c>
      <c r="P257" s="60"/>
      <c r="Q257" s="60"/>
      <c r="R257" s="60"/>
      <c r="S257" s="60"/>
      <c r="T257" s="60"/>
    </row>
    <row r="258" ht="15.75" customHeight="1">
      <c r="A258" s="60"/>
      <c r="B258" s="7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 t="str">
        <f t="shared" si="1"/>
        <v/>
      </c>
      <c r="P258" s="60"/>
      <c r="Q258" s="60"/>
      <c r="R258" s="60"/>
      <c r="S258" s="60"/>
      <c r="T258" s="60"/>
    </row>
    <row r="259" ht="15.75" customHeight="1">
      <c r="A259" s="60"/>
      <c r="B259" s="7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 t="str">
        <f t="shared" si="1"/>
        <v/>
      </c>
      <c r="P259" s="60"/>
      <c r="Q259" s="60"/>
      <c r="R259" s="60"/>
      <c r="S259" s="60"/>
      <c r="T259" s="60"/>
    </row>
    <row r="260" ht="15.75" customHeight="1">
      <c r="A260" s="60"/>
      <c r="B260" s="7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 t="str">
        <f t="shared" si="1"/>
        <v/>
      </c>
      <c r="P260" s="60"/>
      <c r="Q260" s="60"/>
      <c r="R260" s="60"/>
      <c r="S260" s="60"/>
      <c r="T260" s="60"/>
    </row>
    <row r="261" ht="15.75" customHeight="1">
      <c r="A261" s="60"/>
      <c r="B261" s="7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 t="str">
        <f t="shared" si="1"/>
        <v/>
      </c>
      <c r="P261" s="60"/>
      <c r="Q261" s="60"/>
      <c r="R261" s="60"/>
      <c r="S261" s="60"/>
      <c r="T261" s="60"/>
    </row>
    <row r="262" ht="15.75" customHeight="1">
      <c r="A262" s="60"/>
      <c r="B262" s="7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 t="str">
        <f t="shared" si="1"/>
        <v/>
      </c>
      <c r="P262" s="60"/>
      <c r="Q262" s="60"/>
      <c r="R262" s="60"/>
      <c r="S262" s="60"/>
      <c r="T262" s="60"/>
    </row>
    <row r="263" ht="15.75" customHeight="1">
      <c r="A263" s="60"/>
      <c r="B263" s="7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 t="str">
        <f t="shared" si="1"/>
        <v/>
      </c>
      <c r="P263" s="60"/>
      <c r="Q263" s="60"/>
      <c r="R263" s="60"/>
      <c r="S263" s="60"/>
      <c r="T263" s="60"/>
    </row>
    <row r="264" ht="15.75" customHeight="1">
      <c r="A264" s="60"/>
      <c r="B264" s="7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 t="str">
        <f t="shared" si="1"/>
        <v/>
      </c>
      <c r="P264" s="60"/>
      <c r="Q264" s="60"/>
      <c r="R264" s="60"/>
      <c r="S264" s="60"/>
      <c r="T264" s="60"/>
    </row>
    <row r="265" ht="15.75" customHeight="1">
      <c r="A265" s="60"/>
      <c r="B265" s="7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 t="str">
        <f t="shared" si="1"/>
        <v/>
      </c>
      <c r="P265" s="60"/>
      <c r="Q265" s="60"/>
      <c r="R265" s="60"/>
      <c r="S265" s="60"/>
      <c r="T265" s="60"/>
    </row>
    <row r="266" ht="15.75" customHeight="1">
      <c r="A266" s="60"/>
      <c r="B266" s="7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 t="str">
        <f t="shared" si="1"/>
        <v/>
      </c>
      <c r="P266" s="60"/>
      <c r="Q266" s="60"/>
      <c r="R266" s="60"/>
      <c r="S266" s="60"/>
      <c r="T266" s="60"/>
    </row>
    <row r="267" ht="15.75" customHeight="1">
      <c r="A267" s="60"/>
      <c r="B267" s="7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 t="str">
        <f t="shared" si="1"/>
        <v/>
      </c>
      <c r="P267" s="60"/>
      <c r="Q267" s="60"/>
      <c r="R267" s="60"/>
      <c r="S267" s="60"/>
      <c r="T267" s="60"/>
    </row>
    <row r="268" ht="15.75" customHeight="1">
      <c r="A268" s="60"/>
      <c r="B268" s="7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 t="str">
        <f t="shared" si="1"/>
        <v/>
      </c>
      <c r="P268" s="60"/>
      <c r="Q268" s="60"/>
      <c r="R268" s="60"/>
      <c r="S268" s="60"/>
      <c r="T268" s="60"/>
    </row>
    <row r="269" ht="15.75" customHeight="1">
      <c r="A269" s="60"/>
      <c r="B269" s="7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 t="str">
        <f t="shared" si="1"/>
        <v/>
      </c>
      <c r="P269" s="60"/>
      <c r="Q269" s="60"/>
      <c r="R269" s="60"/>
      <c r="S269" s="60"/>
      <c r="T269" s="60"/>
    </row>
    <row r="270" ht="15.75" customHeight="1">
      <c r="A270" s="60"/>
      <c r="B270" s="7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 t="str">
        <f t="shared" si="1"/>
        <v/>
      </c>
      <c r="P270" s="60"/>
      <c r="Q270" s="60"/>
      <c r="R270" s="60"/>
      <c r="S270" s="60"/>
      <c r="T270" s="60"/>
    </row>
    <row r="271" ht="15.75" customHeight="1">
      <c r="A271" s="60"/>
      <c r="B271" s="7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 t="str">
        <f t="shared" si="1"/>
        <v/>
      </c>
      <c r="P271" s="60"/>
      <c r="Q271" s="60"/>
      <c r="R271" s="60"/>
      <c r="S271" s="60"/>
      <c r="T271" s="60"/>
    </row>
    <row r="272" ht="15.75" customHeight="1">
      <c r="A272" s="60"/>
      <c r="B272" s="7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 t="str">
        <f t="shared" si="1"/>
        <v/>
      </c>
      <c r="P272" s="60"/>
      <c r="Q272" s="60"/>
      <c r="R272" s="60"/>
      <c r="S272" s="60"/>
      <c r="T272" s="60"/>
    </row>
    <row r="273" ht="15.75" customHeight="1">
      <c r="A273" s="60"/>
      <c r="B273" s="7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 t="str">
        <f t="shared" si="1"/>
        <v/>
      </c>
      <c r="P273" s="60"/>
      <c r="Q273" s="60"/>
      <c r="R273" s="60"/>
      <c r="S273" s="60"/>
      <c r="T273" s="60"/>
    </row>
    <row r="274" ht="15.75" customHeight="1">
      <c r="A274" s="60"/>
      <c r="B274" s="7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 t="str">
        <f t="shared" si="1"/>
        <v/>
      </c>
      <c r="P274" s="60"/>
      <c r="Q274" s="60"/>
      <c r="R274" s="60"/>
      <c r="S274" s="60"/>
      <c r="T274" s="60"/>
    </row>
    <row r="275" ht="15.75" customHeight="1">
      <c r="A275" s="60"/>
      <c r="B275" s="7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 t="str">
        <f t="shared" si="1"/>
        <v/>
      </c>
      <c r="P275" s="60"/>
      <c r="Q275" s="60"/>
      <c r="R275" s="60"/>
      <c r="S275" s="60"/>
      <c r="T275" s="60"/>
    </row>
    <row r="276" ht="15.75" customHeight="1">
      <c r="A276" s="60"/>
      <c r="B276" s="7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 t="str">
        <f t="shared" si="1"/>
        <v/>
      </c>
      <c r="P276" s="60"/>
      <c r="Q276" s="60"/>
      <c r="R276" s="60"/>
      <c r="S276" s="60"/>
      <c r="T276" s="60"/>
    </row>
    <row r="277" ht="15.75" customHeight="1">
      <c r="A277" s="60"/>
      <c r="B277" s="7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 t="str">
        <f t="shared" si="1"/>
        <v/>
      </c>
      <c r="P277" s="60"/>
      <c r="Q277" s="60"/>
      <c r="R277" s="60"/>
      <c r="S277" s="60"/>
      <c r="T277" s="60"/>
    </row>
    <row r="278" ht="15.75" customHeight="1">
      <c r="A278" s="60"/>
      <c r="B278" s="7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 t="str">
        <f t="shared" si="1"/>
        <v/>
      </c>
      <c r="P278" s="60"/>
      <c r="Q278" s="60"/>
      <c r="R278" s="60"/>
      <c r="S278" s="60"/>
      <c r="T278" s="60"/>
    </row>
    <row r="279" ht="15.75" customHeight="1">
      <c r="A279" s="60"/>
      <c r="B279" s="7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 t="str">
        <f t="shared" si="1"/>
        <v/>
      </c>
      <c r="P279" s="60"/>
      <c r="Q279" s="60"/>
      <c r="R279" s="60"/>
      <c r="S279" s="60"/>
      <c r="T279" s="60"/>
    </row>
    <row r="280" ht="15.75" customHeight="1">
      <c r="A280" s="60"/>
      <c r="B280" s="7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 t="str">
        <f t="shared" si="1"/>
        <v/>
      </c>
      <c r="P280" s="60"/>
      <c r="Q280" s="60"/>
      <c r="R280" s="60"/>
      <c r="S280" s="60"/>
      <c r="T280" s="60"/>
    </row>
    <row r="281" ht="15.75" customHeight="1">
      <c r="A281" s="60"/>
      <c r="B281" s="7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 t="str">
        <f t="shared" si="1"/>
        <v/>
      </c>
      <c r="P281" s="60"/>
      <c r="Q281" s="60"/>
      <c r="R281" s="60"/>
      <c r="S281" s="60"/>
      <c r="T281" s="60"/>
    </row>
    <row r="282" ht="15.75" customHeight="1">
      <c r="A282" s="60"/>
      <c r="B282" s="7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 t="str">
        <f t="shared" si="1"/>
        <v/>
      </c>
      <c r="P282" s="60"/>
      <c r="Q282" s="60"/>
      <c r="R282" s="60"/>
      <c r="S282" s="60"/>
      <c r="T282" s="60"/>
    </row>
    <row r="283" ht="15.75" customHeight="1">
      <c r="A283" s="60"/>
      <c r="B283" s="7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 t="str">
        <f t="shared" si="1"/>
        <v/>
      </c>
      <c r="P283" s="60"/>
      <c r="Q283" s="60"/>
      <c r="R283" s="60"/>
      <c r="S283" s="60"/>
      <c r="T283" s="60"/>
    </row>
    <row r="284" ht="15.75" customHeight="1">
      <c r="A284" s="60"/>
      <c r="B284" s="7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 t="str">
        <f t="shared" si="1"/>
        <v/>
      </c>
      <c r="P284" s="60"/>
      <c r="Q284" s="60"/>
      <c r="R284" s="60"/>
      <c r="S284" s="60"/>
      <c r="T284" s="60"/>
    </row>
    <row r="285" ht="15.75" customHeight="1">
      <c r="A285" s="60"/>
      <c r="B285" s="7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 t="str">
        <f t="shared" si="1"/>
        <v/>
      </c>
      <c r="P285" s="60"/>
      <c r="Q285" s="60"/>
      <c r="R285" s="60"/>
      <c r="S285" s="60"/>
      <c r="T285" s="60"/>
    </row>
    <row r="286" ht="15.75" customHeight="1">
      <c r="A286" s="60"/>
      <c r="B286" s="7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 t="str">
        <f t="shared" si="1"/>
        <v/>
      </c>
      <c r="P286" s="60"/>
      <c r="Q286" s="60"/>
      <c r="R286" s="60"/>
      <c r="S286" s="60"/>
      <c r="T286" s="60"/>
    </row>
    <row r="287" ht="15.75" customHeight="1">
      <c r="A287" s="60"/>
      <c r="B287" s="7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 t="str">
        <f t="shared" si="1"/>
        <v/>
      </c>
      <c r="P287" s="60"/>
      <c r="Q287" s="60"/>
      <c r="R287" s="60"/>
      <c r="S287" s="60"/>
      <c r="T287" s="60"/>
    </row>
    <row r="288" ht="15.75" customHeight="1">
      <c r="A288" s="60"/>
      <c r="B288" s="7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 t="str">
        <f t="shared" si="1"/>
        <v/>
      </c>
      <c r="P288" s="60"/>
      <c r="Q288" s="60"/>
      <c r="R288" s="60"/>
      <c r="S288" s="60"/>
      <c r="T288" s="60"/>
    </row>
    <row r="289" ht="15.75" customHeight="1">
      <c r="A289" s="60"/>
      <c r="B289" s="7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 t="str">
        <f t="shared" si="1"/>
        <v/>
      </c>
      <c r="P289" s="60"/>
      <c r="Q289" s="60"/>
      <c r="R289" s="60"/>
      <c r="S289" s="60"/>
      <c r="T289" s="60"/>
    </row>
    <row r="290" ht="15.75" customHeight="1">
      <c r="A290" s="60"/>
      <c r="B290" s="7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 t="str">
        <f t="shared" si="1"/>
        <v/>
      </c>
      <c r="P290" s="60"/>
      <c r="Q290" s="60"/>
      <c r="R290" s="60"/>
      <c r="S290" s="60"/>
      <c r="T290" s="60"/>
    </row>
    <row r="291" ht="15.75" customHeight="1">
      <c r="A291" s="60"/>
      <c r="B291" s="7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 t="str">
        <f t="shared" si="1"/>
        <v/>
      </c>
      <c r="P291" s="60"/>
      <c r="Q291" s="60"/>
      <c r="R291" s="60"/>
      <c r="S291" s="60"/>
      <c r="T291" s="60"/>
    </row>
    <row r="292" ht="15.75" customHeight="1">
      <c r="A292" s="60"/>
      <c r="B292" s="7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 t="str">
        <f t="shared" si="1"/>
        <v/>
      </c>
      <c r="P292" s="60"/>
      <c r="Q292" s="60"/>
      <c r="R292" s="60"/>
      <c r="S292" s="60"/>
      <c r="T292" s="60"/>
    </row>
    <row r="293" ht="15.75" customHeight="1">
      <c r="A293" s="60"/>
      <c r="B293" s="7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 t="str">
        <f t="shared" si="1"/>
        <v/>
      </c>
      <c r="P293" s="60"/>
      <c r="Q293" s="60"/>
      <c r="R293" s="60"/>
      <c r="S293" s="60"/>
      <c r="T293" s="60"/>
    </row>
    <row r="294" ht="15.75" customHeight="1">
      <c r="A294" s="60"/>
      <c r="B294" s="7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 t="str">
        <f t="shared" si="1"/>
        <v/>
      </c>
      <c r="P294" s="60"/>
      <c r="Q294" s="60"/>
      <c r="R294" s="60"/>
      <c r="S294" s="60"/>
      <c r="T294" s="60"/>
    </row>
    <row r="295" ht="15.75" customHeight="1">
      <c r="A295" s="60"/>
      <c r="B295" s="7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 t="str">
        <f t="shared" si="1"/>
        <v/>
      </c>
      <c r="P295" s="60"/>
      <c r="Q295" s="60"/>
      <c r="R295" s="60"/>
      <c r="S295" s="60"/>
      <c r="T295" s="60"/>
    </row>
    <row r="296" ht="15.75" customHeight="1">
      <c r="A296" s="60"/>
      <c r="B296" s="7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 t="str">
        <f t="shared" si="1"/>
        <v/>
      </c>
      <c r="P296" s="60"/>
      <c r="Q296" s="60"/>
      <c r="R296" s="60"/>
      <c r="S296" s="60"/>
      <c r="T296" s="60"/>
    </row>
    <row r="297" ht="15.75" customHeight="1">
      <c r="A297" s="60"/>
      <c r="B297" s="7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 t="str">
        <f t="shared" si="1"/>
        <v/>
      </c>
      <c r="P297" s="60"/>
      <c r="Q297" s="60"/>
      <c r="R297" s="60"/>
      <c r="S297" s="60"/>
      <c r="T297" s="60"/>
    </row>
    <row r="298" ht="15.75" customHeight="1">
      <c r="A298" s="60"/>
      <c r="B298" s="7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 t="str">
        <f t="shared" si="1"/>
        <v/>
      </c>
      <c r="P298" s="60"/>
      <c r="Q298" s="60"/>
      <c r="R298" s="60"/>
      <c r="S298" s="60"/>
      <c r="T298" s="60"/>
    </row>
    <row r="299" ht="15.75" customHeight="1">
      <c r="A299" s="60"/>
      <c r="B299" s="7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 t="str">
        <f t="shared" si="1"/>
        <v/>
      </c>
      <c r="P299" s="60"/>
      <c r="Q299" s="60"/>
      <c r="R299" s="60"/>
      <c r="S299" s="60"/>
      <c r="T299" s="60"/>
    </row>
    <row r="300" ht="15.75" customHeight="1">
      <c r="A300" s="60"/>
      <c r="B300" s="7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 t="str">
        <f t="shared" si="1"/>
        <v/>
      </c>
      <c r="P300" s="60"/>
      <c r="Q300" s="60"/>
      <c r="R300" s="60"/>
      <c r="S300" s="60"/>
      <c r="T300" s="60"/>
    </row>
    <row r="301" ht="15.75" customHeight="1">
      <c r="A301" s="60"/>
      <c r="B301" s="7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 t="str">
        <f t="shared" si="1"/>
        <v/>
      </c>
      <c r="P301" s="60"/>
      <c r="Q301" s="60"/>
      <c r="R301" s="60"/>
      <c r="S301" s="60"/>
      <c r="T301" s="60"/>
    </row>
    <row r="302" ht="15.75" customHeight="1">
      <c r="A302" s="60"/>
      <c r="B302" s="7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 t="str">
        <f t="shared" si="1"/>
        <v/>
      </c>
      <c r="P302" s="60"/>
      <c r="Q302" s="60"/>
      <c r="R302" s="60"/>
      <c r="S302" s="60"/>
      <c r="T302" s="60"/>
    </row>
    <row r="303" ht="15.75" customHeight="1">
      <c r="A303" s="60"/>
      <c r="B303" s="7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 t="str">
        <f t="shared" si="1"/>
        <v/>
      </c>
      <c r="P303" s="60"/>
      <c r="Q303" s="60"/>
      <c r="R303" s="60"/>
      <c r="S303" s="60"/>
      <c r="T303" s="60"/>
    </row>
    <row r="304" ht="15.75" customHeight="1">
      <c r="A304" s="60"/>
      <c r="B304" s="7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 t="str">
        <f t="shared" si="1"/>
        <v/>
      </c>
      <c r="P304" s="60"/>
      <c r="Q304" s="60"/>
      <c r="R304" s="60"/>
      <c r="S304" s="60"/>
      <c r="T304" s="60"/>
    </row>
    <row r="305" ht="15.75" customHeight="1">
      <c r="A305" s="60"/>
      <c r="B305" s="7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 t="str">
        <f t="shared" si="1"/>
        <v/>
      </c>
      <c r="P305" s="60"/>
      <c r="Q305" s="60"/>
      <c r="R305" s="60"/>
      <c r="S305" s="60"/>
      <c r="T305" s="60"/>
    </row>
    <row r="306" ht="15.75" customHeight="1">
      <c r="A306" s="60"/>
      <c r="B306" s="7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 t="str">
        <f t="shared" si="1"/>
        <v/>
      </c>
      <c r="P306" s="60"/>
      <c r="Q306" s="60"/>
      <c r="R306" s="60"/>
      <c r="S306" s="60"/>
      <c r="T306" s="60"/>
    </row>
    <row r="307" ht="15.75" customHeight="1">
      <c r="A307" s="60"/>
      <c r="B307" s="7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 t="str">
        <f t="shared" si="1"/>
        <v/>
      </c>
      <c r="P307" s="60"/>
      <c r="Q307" s="60"/>
      <c r="R307" s="60"/>
      <c r="S307" s="60"/>
      <c r="T307" s="60"/>
    </row>
    <row r="308" ht="15.75" customHeight="1">
      <c r="A308" s="60"/>
      <c r="B308" s="7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 t="str">
        <f t="shared" si="1"/>
        <v/>
      </c>
      <c r="P308" s="60"/>
      <c r="Q308" s="60"/>
      <c r="R308" s="60"/>
      <c r="S308" s="60"/>
      <c r="T308" s="60"/>
    </row>
    <row r="309" ht="15.75" customHeight="1">
      <c r="A309" s="60"/>
      <c r="B309" s="7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 t="str">
        <f t="shared" si="1"/>
        <v/>
      </c>
      <c r="P309" s="60"/>
      <c r="Q309" s="60"/>
      <c r="R309" s="60"/>
      <c r="S309" s="60"/>
      <c r="T309" s="60"/>
    </row>
    <row r="310" ht="15.75" customHeight="1">
      <c r="A310" s="60"/>
      <c r="B310" s="7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 t="str">
        <f t="shared" si="1"/>
        <v/>
      </c>
      <c r="P310" s="60"/>
      <c r="Q310" s="60"/>
      <c r="R310" s="60"/>
      <c r="S310" s="60"/>
      <c r="T310" s="60"/>
    </row>
    <row r="311" ht="15.75" customHeight="1">
      <c r="A311" s="60"/>
      <c r="B311" s="7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 t="str">
        <f t="shared" si="1"/>
        <v/>
      </c>
      <c r="P311" s="60"/>
      <c r="Q311" s="60"/>
      <c r="R311" s="60"/>
      <c r="S311" s="60"/>
      <c r="T311" s="60"/>
    </row>
    <row r="312" ht="15.75" customHeight="1">
      <c r="A312" s="60"/>
      <c r="B312" s="7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 t="str">
        <f t="shared" si="1"/>
        <v/>
      </c>
      <c r="P312" s="60"/>
      <c r="Q312" s="60"/>
      <c r="R312" s="60"/>
      <c r="S312" s="60"/>
      <c r="T312" s="60"/>
    </row>
    <row r="313" ht="15.75" customHeight="1">
      <c r="A313" s="60"/>
      <c r="B313" s="7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 t="str">
        <f t="shared" si="1"/>
        <v/>
      </c>
      <c r="P313" s="60"/>
      <c r="Q313" s="60"/>
      <c r="R313" s="60"/>
      <c r="S313" s="60"/>
      <c r="T313" s="60"/>
    </row>
    <row r="314" ht="15.75" customHeight="1">
      <c r="A314" s="60"/>
      <c r="B314" s="7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 t="str">
        <f t="shared" si="1"/>
        <v/>
      </c>
      <c r="P314" s="60"/>
      <c r="Q314" s="60"/>
      <c r="R314" s="60"/>
      <c r="S314" s="60"/>
      <c r="T314" s="60"/>
    </row>
    <row r="315" ht="15.75" customHeight="1">
      <c r="A315" s="60"/>
      <c r="B315" s="7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 t="str">
        <f t="shared" si="1"/>
        <v/>
      </c>
      <c r="P315" s="60"/>
      <c r="Q315" s="60"/>
      <c r="R315" s="60"/>
      <c r="S315" s="60"/>
      <c r="T315" s="60"/>
    </row>
    <row r="316" ht="15.75" customHeight="1">
      <c r="A316" s="60"/>
      <c r="B316" s="7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 t="str">
        <f t="shared" si="1"/>
        <v/>
      </c>
      <c r="P316" s="60"/>
      <c r="Q316" s="60"/>
      <c r="R316" s="60"/>
      <c r="S316" s="60"/>
      <c r="T316" s="60"/>
    </row>
    <row r="317" ht="15.75" customHeight="1">
      <c r="A317" s="60"/>
      <c r="B317" s="7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 t="str">
        <f t="shared" si="1"/>
        <v/>
      </c>
      <c r="P317" s="60"/>
      <c r="Q317" s="60"/>
      <c r="R317" s="60"/>
      <c r="S317" s="60"/>
      <c r="T317" s="60"/>
    </row>
    <row r="318" ht="15.75" customHeight="1">
      <c r="A318" s="60"/>
      <c r="B318" s="7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 t="str">
        <f t="shared" si="1"/>
        <v/>
      </c>
      <c r="P318" s="60"/>
      <c r="Q318" s="60"/>
      <c r="R318" s="60"/>
      <c r="S318" s="60"/>
      <c r="T318" s="60"/>
    </row>
    <row r="319" ht="15.75" customHeight="1">
      <c r="A319" s="60"/>
      <c r="B319" s="7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 t="str">
        <f t="shared" si="1"/>
        <v/>
      </c>
      <c r="P319" s="60"/>
      <c r="Q319" s="60"/>
      <c r="R319" s="60"/>
      <c r="S319" s="60"/>
      <c r="T319" s="60"/>
    </row>
    <row r="320" ht="15.75" customHeight="1">
      <c r="A320" s="60"/>
      <c r="B320" s="7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 t="str">
        <f t="shared" si="1"/>
        <v/>
      </c>
      <c r="P320" s="60"/>
      <c r="Q320" s="60"/>
      <c r="R320" s="60"/>
      <c r="S320" s="60"/>
      <c r="T320" s="60"/>
    </row>
    <row r="321" ht="15.75" customHeight="1">
      <c r="A321" s="60"/>
      <c r="B321" s="7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 t="str">
        <f t="shared" si="1"/>
        <v/>
      </c>
      <c r="P321" s="60"/>
      <c r="Q321" s="60"/>
      <c r="R321" s="60"/>
      <c r="S321" s="60"/>
      <c r="T321" s="60"/>
    </row>
    <row r="322" ht="15.75" customHeight="1">
      <c r="A322" s="60"/>
      <c r="B322" s="7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 t="str">
        <f t="shared" si="1"/>
        <v/>
      </c>
      <c r="P322" s="60"/>
      <c r="Q322" s="60"/>
      <c r="R322" s="60"/>
      <c r="S322" s="60"/>
      <c r="T322" s="60"/>
    </row>
    <row r="323" ht="15.75" customHeight="1">
      <c r="A323" s="60"/>
      <c r="B323" s="7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 t="str">
        <f t="shared" si="1"/>
        <v/>
      </c>
      <c r="P323" s="60"/>
      <c r="Q323" s="60"/>
      <c r="R323" s="60"/>
      <c r="S323" s="60"/>
      <c r="T323" s="60"/>
    </row>
    <row r="324" ht="15.75" customHeight="1">
      <c r="A324" s="60"/>
      <c r="B324" s="7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 t="str">
        <f t="shared" si="1"/>
        <v/>
      </c>
      <c r="P324" s="60"/>
      <c r="Q324" s="60"/>
      <c r="R324" s="60"/>
      <c r="S324" s="60"/>
      <c r="T324" s="60"/>
    </row>
    <row r="325" ht="15.75" customHeight="1">
      <c r="A325" s="60"/>
      <c r="B325" s="7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 t="str">
        <f t="shared" si="1"/>
        <v/>
      </c>
      <c r="P325" s="60"/>
      <c r="Q325" s="60"/>
      <c r="R325" s="60"/>
      <c r="S325" s="60"/>
      <c r="T325" s="60"/>
    </row>
    <row r="326" ht="15.75" customHeight="1">
      <c r="A326" s="60"/>
      <c r="B326" s="7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 t="str">
        <f t="shared" si="1"/>
        <v/>
      </c>
      <c r="P326" s="60"/>
      <c r="Q326" s="60"/>
      <c r="R326" s="60"/>
      <c r="S326" s="60"/>
      <c r="T326" s="60"/>
    </row>
    <row r="327" ht="15.75" customHeight="1">
      <c r="A327" s="60"/>
      <c r="B327" s="7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 t="str">
        <f t="shared" si="1"/>
        <v/>
      </c>
      <c r="P327" s="60"/>
      <c r="Q327" s="60"/>
      <c r="R327" s="60"/>
      <c r="S327" s="60"/>
      <c r="T327" s="60"/>
    </row>
    <row r="328" ht="15.75" customHeight="1">
      <c r="A328" s="60"/>
      <c r="B328" s="7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 t="str">
        <f t="shared" si="1"/>
        <v/>
      </c>
      <c r="P328" s="60"/>
      <c r="Q328" s="60"/>
      <c r="R328" s="60"/>
      <c r="S328" s="60"/>
      <c r="T328" s="60"/>
    </row>
    <row r="329" ht="15.75" customHeight="1">
      <c r="A329" s="60"/>
      <c r="B329" s="7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 t="str">
        <f t="shared" si="1"/>
        <v/>
      </c>
      <c r="P329" s="60"/>
      <c r="Q329" s="60"/>
      <c r="R329" s="60"/>
      <c r="S329" s="60"/>
      <c r="T329" s="60"/>
    </row>
    <row r="330" ht="15.75" customHeight="1">
      <c r="A330" s="60"/>
      <c r="B330" s="7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 t="str">
        <f t="shared" si="1"/>
        <v/>
      </c>
      <c r="P330" s="60"/>
      <c r="Q330" s="60"/>
      <c r="R330" s="60"/>
      <c r="S330" s="60"/>
      <c r="T330" s="60"/>
    </row>
    <row r="331" ht="15.75" customHeight="1">
      <c r="A331" s="60"/>
      <c r="B331" s="7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 t="str">
        <f t="shared" si="1"/>
        <v/>
      </c>
      <c r="P331" s="60"/>
      <c r="Q331" s="60"/>
      <c r="R331" s="60"/>
      <c r="S331" s="60"/>
      <c r="T331" s="60"/>
    </row>
    <row r="332" ht="15.75" customHeight="1">
      <c r="A332" s="60"/>
      <c r="B332" s="7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 t="str">
        <f t="shared" si="1"/>
        <v/>
      </c>
      <c r="P332" s="60"/>
      <c r="Q332" s="60"/>
      <c r="R332" s="60"/>
      <c r="S332" s="60"/>
      <c r="T332" s="60"/>
    </row>
    <row r="333" ht="15.75" customHeight="1">
      <c r="A333" s="60"/>
      <c r="B333" s="7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 t="str">
        <f t="shared" si="1"/>
        <v/>
      </c>
      <c r="P333" s="60"/>
      <c r="Q333" s="60"/>
      <c r="R333" s="60"/>
      <c r="S333" s="60"/>
      <c r="T333" s="60"/>
    </row>
    <row r="334" ht="15.75" customHeight="1">
      <c r="A334" s="60"/>
      <c r="B334" s="7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 t="str">
        <f t="shared" si="1"/>
        <v/>
      </c>
      <c r="P334" s="60"/>
      <c r="Q334" s="60"/>
      <c r="R334" s="60"/>
      <c r="S334" s="60"/>
      <c r="T334" s="60"/>
    </row>
    <row r="335" ht="15.75" customHeight="1">
      <c r="A335" s="60"/>
      <c r="B335" s="7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 t="str">
        <f t="shared" si="1"/>
        <v/>
      </c>
      <c r="P335" s="60"/>
      <c r="Q335" s="60"/>
      <c r="R335" s="60"/>
      <c r="S335" s="60"/>
      <c r="T335" s="60"/>
    </row>
    <row r="336" ht="15.75" customHeight="1">
      <c r="A336" s="60"/>
      <c r="B336" s="7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 t="str">
        <f t="shared" si="1"/>
        <v/>
      </c>
      <c r="P336" s="60"/>
      <c r="Q336" s="60"/>
      <c r="R336" s="60"/>
      <c r="S336" s="60"/>
      <c r="T336" s="60"/>
    </row>
    <row r="337" ht="15.75" customHeight="1">
      <c r="A337" s="60"/>
      <c r="B337" s="7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 t="str">
        <f t="shared" si="1"/>
        <v/>
      </c>
      <c r="P337" s="60"/>
      <c r="Q337" s="60"/>
      <c r="R337" s="60"/>
      <c r="S337" s="60"/>
      <c r="T337" s="60"/>
    </row>
    <row r="338" ht="15.75" customHeight="1">
      <c r="A338" s="60"/>
      <c r="B338" s="7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 t="str">
        <f t="shared" si="1"/>
        <v/>
      </c>
      <c r="P338" s="60"/>
      <c r="Q338" s="60"/>
      <c r="R338" s="60"/>
      <c r="S338" s="60"/>
      <c r="T338" s="60"/>
    </row>
    <row r="339" ht="15.75" customHeight="1">
      <c r="A339" s="60"/>
      <c r="B339" s="7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 t="str">
        <f t="shared" si="1"/>
        <v/>
      </c>
      <c r="P339" s="60"/>
      <c r="Q339" s="60"/>
      <c r="R339" s="60"/>
      <c r="S339" s="60"/>
      <c r="T339" s="60"/>
    </row>
    <row r="340" ht="15.75" customHeight="1">
      <c r="A340" s="60"/>
      <c r="B340" s="7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 t="str">
        <f t="shared" si="1"/>
        <v/>
      </c>
      <c r="P340" s="60"/>
      <c r="Q340" s="60"/>
      <c r="R340" s="60"/>
      <c r="S340" s="60"/>
      <c r="T340" s="60"/>
    </row>
    <row r="341" ht="15.75" customHeight="1">
      <c r="A341" s="60"/>
      <c r="B341" s="7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 t="str">
        <f t="shared" si="1"/>
        <v/>
      </c>
      <c r="P341" s="60"/>
      <c r="Q341" s="60"/>
      <c r="R341" s="60"/>
      <c r="S341" s="60"/>
      <c r="T341" s="60"/>
    </row>
    <row r="342" ht="15.75" customHeight="1">
      <c r="A342" s="60"/>
      <c r="B342" s="7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 t="str">
        <f t="shared" si="1"/>
        <v/>
      </c>
      <c r="P342" s="60"/>
      <c r="Q342" s="60"/>
      <c r="R342" s="60"/>
      <c r="S342" s="60"/>
      <c r="T342" s="60"/>
    </row>
    <row r="343" ht="15.75" customHeight="1">
      <c r="A343" s="60"/>
      <c r="B343" s="7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 t="str">
        <f t="shared" si="1"/>
        <v/>
      </c>
      <c r="P343" s="60"/>
      <c r="Q343" s="60"/>
      <c r="R343" s="60"/>
      <c r="S343" s="60"/>
      <c r="T343" s="60"/>
    </row>
    <row r="344" ht="15.75" customHeight="1">
      <c r="A344" s="60"/>
      <c r="B344" s="7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 t="str">
        <f t="shared" si="1"/>
        <v/>
      </c>
      <c r="P344" s="60"/>
      <c r="Q344" s="60"/>
      <c r="R344" s="60"/>
      <c r="S344" s="60"/>
      <c r="T344" s="60"/>
    </row>
    <row r="345" ht="15.75" customHeight="1">
      <c r="A345" s="60"/>
      <c r="B345" s="7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 t="str">
        <f t="shared" si="1"/>
        <v/>
      </c>
      <c r="P345" s="60"/>
      <c r="Q345" s="60"/>
      <c r="R345" s="60"/>
      <c r="S345" s="60"/>
      <c r="T345" s="60"/>
    </row>
    <row r="346" ht="15.75" customHeight="1">
      <c r="A346" s="60"/>
      <c r="B346" s="7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 t="str">
        <f t="shared" si="1"/>
        <v/>
      </c>
      <c r="P346" s="60"/>
      <c r="Q346" s="60"/>
      <c r="R346" s="60"/>
      <c r="S346" s="60"/>
      <c r="T346" s="60"/>
    </row>
    <row r="347" ht="15.75" customHeight="1">
      <c r="A347" s="60"/>
      <c r="B347" s="7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 t="str">
        <f t="shared" si="1"/>
        <v/>
      </c>
      <c r="P347" s="60"/>
      <c r="Q347" s="60"/>
      <c r="R347" s="60"/>
      <c r="S347" s="60"/>
      <c r="T347" s="60"/>
    </row>
    <row r="348" ht="15.75" customHeight="1">
      <c r="A348" s="60"/>
      <c r="B348" s="7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 t="str">
        <f t="shared" si="1"/>
        <v/>
      </c>
      <c r="P348" s="60"/>
      <c r="Q348" s="60"/>
      <c r="R348" s="60"/>
      <c r="S348" s="60"/>
      <c r="T348" s="60"/>
    </row>
    <row r="349" ht="15.75" customHeight="1">
      <c r="A349" s="60"/>
      <c r="B349" s="7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 t="str">
        <f t="shared" si="1"/>
        <v/>
      </c>
      <c r="P349" s="60"/>
      <c r="Q349" s="60"/>
      <c r="R349" s="60"/>
      <c r="S349" s="60"/>
      <c r="T349" s="60"/>
    </row>
    <row r="350" ht="15.75" customHeight="1">
      <c r="A350" s="60"/>
      <c r="B350" s="7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 t="str">
        <f t="shared" si="1"/>
        <v/>
      </c>
      <c r="P350" s="60"/>
      <c r="Q350" s="60"/>
      <c r="R350" s="60"/>
      <c r="S350" s="60"/>
      <c r="T350" s="60"/>
    </row>
    <row r="351" ht="15.75" customHeight="1">
      <c r="A351" s="60"/>
      <c r="B351" s="7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 t="str">
        <f t="shared" si="1"/>
        <v/>
      </c>
      <c r="P351" s="60"/>
      <c r="Q351" s="60"/>
      <c r="R351" s="60"/>
      <c r="S351" s="60"/>
      <c r="T351" s="60"/>
    </row>
    <row r="352" ht="15.75" customHeight="1">
      <c r="A352" s="60"/>
      <c r="B352" s="7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 t="str">
        <f t="shared" si="1"/>
        <v/>
      </c>
      <c r="P352" s="60"/>
      <c r="Q352" s="60"/>
      <c r="R352" s="60"/>
      <c r="S352" s="60"/>
      <c r="T352" s="60"/>
    </row>
    <row r="353" ht="15.75" customHeight="1">
      <c r="A353" s="60"/>
      <c r="B353" s="7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 t="str">
        <f t="shared" si="1"/>
        <v/>
      </c>
      <c r="P353" s="60"/>
      <c r="Q353" s="60"/>
      <c r="R353" s="60"/>
      <c r="S353" s="60"/>
      <c r="T353" s="60"/>
    </row>
    <row r="354" ht="15.75" customHeight="1">
      <c r="A354" s="60"/>
      <c r="B354" s="7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 t="str">
        <f t="shared" si="1"/>
        <v/>
      </c>
      <c r="P354" s="60"/>
      <c r="Q354" s="60"/>
      <c r="R354" s="60"/>
      <c r="S354" s="60"/>
      <c r="T354" s="60"/>
    </row>
    <row r="355" ht="15.75" customHeight="1">
      <c r="A355" s="60"/>
      <c r="B355" s="7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 t="str">
        <f t="shared" si="1"/>
        <v/>
      </c>
      <c r="P355" s="60"/>
      <c r="Q355" s="60"/>
      <c r="R355" s="60"/>
      <c r="S355" s="60"/>
      <c r="T355" s="60"/>
    </row>
    <row r="356" ht="15.75" customHeight="1">
      <c r="A356" s="60"/>
      <c r="B356" s="7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 t="str">
        <f t="shared" si="1"/>
        <v/>
      </c>
      <c r="P356" s="60"/>
      <c r="Q356" s="60"/>
      <c r="R356" s="60"/>
      <c r="S356" s="60"/>
      <c r="T356" s="60"/>
    </row>
    <row r="357" ht="15.75" customHeight="1">
      <c r="A357" s="60"/>
      <c r="B357" s="7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 t="str">
        <f t="shared" si="1"/>
        <v/>
      </c>
      <c r="P357" s="60"/>
      <c r="Q357" s="60"/>
      <c r="R357" s="60"/>
      <c r="S357" s="60"/>
      <c r="T357" s="60"/>
    </row>
    <row r="358" ht="15.75" customHeight="1">
      <c r="A358" s="60"/>
      <c r="B358" s="7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 t="str">
        <f t="shared" si="1"/>
        <v/>
      </c>
      <c r="P358" s="60"/>
      <c r="Q358" s="60"/>
      <c r="R358" s="60"/>
      <c r="S358" s="60"/>
      <c r="T358" s="60"/>
    </row>
    <row r="359" ht="15.75" customHeight="1">
      <c r="A359" s="60"/>
      <c r="B359" s="7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 t="str">
        <f t="shared" si="1"/>
        <v/>
      </c>
      <c r="P359" s="60"/>
      <c r="Q359" s="60"/>
      <c r="R359" s="60"/>
      <c r="S359" s="60"/>
      <c r="T359" s="60"/>
    </row>
    <row r="360" ht="15.75" customHeight="1">
      <c r="A360" s="60"/>
      <c r="B360" s="7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 t="str">
        <f t="shared" si="1"/>
        <v/>
      </c>
      <c r="P360" s="60"/>
      <c r="Q360" s="60"/>
      <c r="R360" s="60"/>
      <c r="S360" s="60"/>
      <c r="T360" s="60"/>
    </row>
    <row r="361" ht="15.75" customHeight="1">
      <c r="A361" s="60"/>
      <c r="B361" s="7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 t="str">
        <f t="shared" si="1"/>
        <v/>
      </c>
      <c r="P361" s="60"/>
      <c r="Q361" s="60"/>
      <c r="R361" s="60"/>
      <c r="S361" s="60"/>
      <c r="T361" s="60"/>
    </row>
    <row r="362" ht="15.75" customHeight="1">
      <c r="A362" s="60"/>
      <c r="B362" s="7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 t="str">
        <f t="shared" si="1"/>
        <v/>
      </c>
      <c r="P362" s="60"/>
      <c r="Q362" s="60"/>
      <c r="R362" s="60"/>
      <c r="S362" s="60"/>
      <c r="T362" s="60"/>
    </row>
    <row r="363" ht="15.75" customHeight="1">
      <c r="A363" s="60"/>
      <c r="B363" s="7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 t="str">
        <f t="shared" si="1"/>
        <v/>
      </c>
      <c r="P363" s="60"/>
      <c r="Q363" s="60"/>
      <c r="R363" s="60"/>
      <c r="S363" s="60"/>
      <c r="T363" s="60"/>
    </row>
    <row r="364" ht="15.75" customHeight="1">
      <c r="A364" s="60"/>
      <c r="B364" s="7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 t="str">
        <f t="shared" si="1"/>
        <v/>
      </c>
      <c r="P364" s="60"/>
      <c r="Q364" s="60"/>
      <c r="R364" s="60"/>
      <c r="S364" s="60"/>
      <c r="T364" s="60"/>
    </row>
    <row r="365" ht="15.75" customHeight="1">
      <c r="A365" s="60"/>
      <c r="B365" s="7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 t="str">
        <f t="shared" si="1"/>
        <v/>
      </c>
      <c r="P365" s="60"/>
      <c r="Q365" s="60"/>
      <c r="R365" s="60"/>
      <c r="S365" s="60"/>
      <c r="T365" s="60"/>
    </row>
    <row r="366" ht="15.75" customHeight="1">
      <c r="A366" s="60"/>
      <c r="B366" s="7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 t="str">
        <f t="shared" si="1"/>
        <v/>
      </c>
      <c r="P366" s="60"/>
      <c r="Q366" s="60"/>
      <c r="R366" s="60"/>
      <c r="S366" s="60"/>
      <c r="T366" s="60"/>
    </row>
    <row r="367" ht="15.75" customHeight="1">
      <c r="A367" s="60"/>
      <c r="B367" s="7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 t="str">
        <f t="shared" si="1"/>
        <v/>
      </c>
      <c r="P367" s="60"/>
      <c r="Q367" s="60"/>
      <c r="R367" s="60"/>
      <c r="S367" s="60"/>
      <c r="T367" s="60"/>
    </row>
    <row r="368" ht="15.75" customHeight="1">
      <c r="A368" s="60"/>
      <c r="B368" s="7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 t="str">
        <f t="shared" si="1"/>
        <v/>
      </c>
      <c r="P368" s="60"/>
      <c r="Q368" s="60"/>
      <c r="R368" s="60"/>
      <c r="S368" s="60"/>
      <c r="T368" s="60"/>
    </row>
    <row r="369" ht="15.75" customHeight="1">
      <c r="A369" s="60"/>
      <c r="B369" s="7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 t="str">
        <f t="shared" si="1"/>
        <v/>
      </c>
      <c r="P369" s="60"/>
      <c r="Q369" s="60"/>
      <c r="R369" s="60"/>
      <c r="S369" s="60"/>
      <c r="T369" s="60"/>
    </row>
    <row r="370" ht="15.75" customHeight="1">
      <c r="A370" s="60"/>
      <c r="B370" s="7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 t="str">
        <f t="shared" si="1"/>
        <v/>
      </c>
      <c r="P370" s="60"/>
      <c r="Q370" s="60"/>
      <c r="R370" s="60"/>
      <c r="S370" s="60"/>
      <c r="T370" s="60"/>
    </row>
    <row r="371" ht="15.75" customHeight="1">
      <c r="A371" s="60"/>
      <c r="B371" s="7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 t="str">
        <f t="shared" si="1"/>
        <v/>
      </c>
      <c r="P371" s="60"/>
      <c r="Q371" s="60"/>
      <c r="R371" s="60"/>
      <c r="S371" s="60"/>
      <c r="T371" s="60"/>
    </row>
    <row r="372" ht="15.75" customHeight="1">
      <c r="A372" s="60"/>
      <c r="B372" s="7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 t="str">
        <f t="shared" si="1"/>
        <v/>
      </c>
      <c r="P372" s="60"/>
      <c r="Q372" s="60"/>
      <c r="R372" s="60"/>
      <c r="S372" s="60"/>
      <c r="T372" s="60"/>
    </row>
    <row r="373" ht="15.75" customHeight="1">
      <c r="A373" s="60"/>
      <c r="B373" s="7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 t="str">
        <f t="shared" si="1"/>
        <v/>
      </c>
      <c r="P373" s="60"/>
      <c r="Q373" s="60"/>
      <c r="R373" s="60"/>
      <c r="S373" s="60"/>
      <c r="T373" s="60"/>
    </row>
    <row r="374" ht="15.75" customHeight="1">
      <c r="A374" s="60"/>
      <c r="B374" s="7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 t="str">
        <f t="shared" si="1"/>
        <v/>
      </c>
      <c r="P374" s="60"/>
      <c r="Q374" s="60"/>
      <c r="R374" s="60"/>
      <c r="S374" s="60"/>
      <c r="T374" s="60"/>
    </row>
    <row r="375" ht="15.75" customHeight="1">
      <c r="A375" s="60"/>
      <c r="B375" s="7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 t="str">
        <f t="shared" si="1"/>
        <v/>
      </c>
      <c r="P375" s="60"/>
      <c r="Q375" s="60"/>
      <c r="R375" s="60"/>
      <c r="S375" s="60"/>
      <c r="T375" s="60"/>
    </row>
    <row r="376" ht="15.75" customHeight="1">
      <c r="A376" s="60"/>
      <c r="B376" s="7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 t="str">
        <f t="shared" si="1"/>
        <v/>
      </c>
      <c r="P376" s="60"/>
      <c r="Q376" s="60"/>
      <c r="R376" s="60"/>
      <c r="S376" s="60"/>
      <c r="T376" s="60"/>
    </row>
    <row r="377" ht="15.75" customHeight="1">
      <c r="A377" s="60"/>
      <c r="B377" s="7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 t="str">
        <f t="shared" si="1"/>
        <v/>
      </c>
      <c r="P377" s="60"/>
      <c r="Q377" s="60"/>
      <c r="R377" s="60"/>
      <c r="S377" s="60"/>
      <c r="T377" s="60"/>
    </row>
    <row r="378" ht="15.75" customHeight="1">
      <c r="A378" s="60"/>
      <c r="B378" s="7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 t="str">
        <f t="shared" si="1"/>
        <v/>
      </c>
      <c r="P378" s="60"/>
      <c r="Q378" s="60"/>
      <c r="R378" s="60"/>
      <c r="S378" s="60"/>
      <c r="T378" s="60"/>
    </row>
    <row r="379" ht="15.75" customHeight="1">
      <c r="A379" s="60"/>
      <c r="B379" s="7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 t="str">
        <f t="shared" si="1"/>
        <v/>
      </c>
      <c r="P379" s="60"/>
      <c r="Q379" s="60"/>
      <c r="R379" s="60"/>
      <c r="S379" s="60"/>
      <c r="T379" s="60"/>
    </row>
    <row r="380" ht="15.75" customHeight="1">
      <c r="A380" s="60"/>
      <c r="B380" s="7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 t="str">
        <f t="shared" si="1"/>
        <v/>
      </c>
      <c r="P380" s="60"/>
      <c r="Q380" s="60"/>
      <c r="R380" s="60"/>
      <c r="S380" s="60"/>
      <c r="T380" s="60"/>
    </row>
    <row r="381" ht="15.75" customHeight="1">
      <c r="A381" s="60"/>
      <c r="B381" s="7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 t="str">
        <f t="shared" si="1"/>
        <v/>
      </c>
      <c r="P381" s="60"/>
      <c r="Q381" s="60"/>
      <c r="R381" s="60"/>
      <c r="S381" s="60"/>
      <c r="T381" s="60"/>
    </row>
    <row r="382" ht="15.75" customHeight="1">
      <c r="A382" s="60"/>
      <c r="B382" s="7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 t="str">
        <f t="shared" si="1"/>
        <v/>
      </c>
      <c r="P382" s="60"/>
      <c r="Q382" s="60"/>
      <c r="R382" s="60"/>
      <c r="S382" s="60"/>
      <c r="T382" s="60"/>
    </row>
    <row r="383" ht="15.75" customHeight="1">
      <c r="A383" s="60"/>
      <c r="B383" s="7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 t="str">
        <f t="shared" si="1"/>
        <v/>
      </c>
      <c r="P383" s="60"/>
      <c r="Q383" s="60"/>
      <c r="R383" s="60"/>
      <c r="S383" s="60"/>
      <c r="T383" s="60"/>
    </row>
    <row r="384" ht="15.75" customHeight="1">
      <c r="A384" s="60"/>
      <c r="B384" s="7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 t="str">
        <f t="shared" si="1"/>
        <v/>
      </c>
      <c r="P384" s="60"/>
      <c r="Q384" s="60"/>
      <c r="R384" s="60"/>
      <c r="S384" s="60"/>
      <c r="T384" s="60"/>
    </row>
    <row r="385" ht="15.75" customHeight="1">
      <c r="A385" s="60"/>
      <c r="B385" s="7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 t="str">
        <f t="shared" si="1"/>
        <v/>
      </c>
      <c r="P385" s="60"/>
      <c r="Q385" s="60"/>
      <c r="R385" s="60"/>
      <c r="S385" s="60"/>
      <c r="T385" s="60"/>
    </row>
    <row r="386" ht="15.75" customHeight="1">
      <c r="A386" s="60"/>
      <c r="B386" s="7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 t="str">
        <f t="shared" si="1"/>
        <v/>
      </c>
      <c r="P386" s="60"/>
      <c r="Q386" s="60"/>
      <c r="R386" s="60"/>
      <c r="S386" s="60"/>
      <c r="T386" s="60"/>
    </row>
    <row r="387" ht="15.75" customHeight="1">
      <c r="A387" s="60"/>
      <c r="B387" s="7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 t="str">
        <f t="shared" si="1"/>
        <v/>
      </c>
      <c r="P387" s="60"/>
      <c r="Q387" s="60"/>
      <c r="R387" s="60"/>
      <c r="S387" s="60"/>
      <c r="T387" s="60"/>
    </row>
    <row r="388" ht="15.75" customHeight="1">
      <c r="A388" s="60"/>
      <c r="B388" s="7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 t="str">
        <f t="shared" si="1"/>
        <v/>
      </c>
      <c r="P388" s="60"/>
      <c r="Q388" s="60"/>
      <c r="R388" s="60"/>
      <c r="S388" s="60"/>
      <c r="T388" s="60"/>
    </row>
    <row r="389" ht="15.75" customHeight="1">
      <c r="A389" s="60"/>
      <c r="B389" s="7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 t="str">
        <f t="shared" si="1"/>
        <v/>
      </c>
      <c r="P389" s="60"/>
      <c r="Q389" s="60"/>
      <c r="R389" s="60"/>
      <c r="S389" s="60"/>
      <c r="T389" s="60"/>
    </row>
    <row r="390" ht="15.75" customHeight="1">
      <c r="A390" s="60"/>
      <c r="B390" s="7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 t="str">
        <f t="shared" si="1"/>
        <v/>
      </c>
      <c r="P390" s="60"/>
      <c r="Q390" s="60"/>
      <c r="R390" s="60"/>
      <c r="S390" s="60"/>
      <c r="T390" s="60"/>
    </row>
    <row r="391" ht="15.75" customHeight="1">
      <c r="A391" s="60"/>
      <c r="B391" s="7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 t="str">
        <f t="shared" si="1"/>
        <v/>
      </c>
      <c r="P391" s="60"/>
      <c r="Q391" s="60"/>
      <c r="R391" s="60"/>
      <c r="S391" s="60"/>
      <c r="T391" s="60"/>
    </row>
    <row r="392" ht="15.75" customHeight="1">
      <c r="A392" s="60"/>
      <c r="B392" s="7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 t="str">
        <f t="shared" si="1"/>
        <v/>
      </c>
      <c r="P392" s="60"/>
      <c r="Q392" s="60"/>
      <c r="R392" s="60"/>
      <c r="S392" s="60"/>
      <c r="T392" s="60"/>
    </row>
    <row r="393" ht="15.75" customHeight="1">
      <c r="A393" s="60"/>
      <c r="B393" s="7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 t="str">
        <f t="shared" si="1"/>
        <v/>
      </c>
      <c r="P393" s="60"/>
      <c r="Q393" s="60"/>
      <c r="R393" s="60"/>
      <c r="S393" s="60"/>
      <c r="T393" s="60"/>
    </row>
    <row r="394" ht="15.75" customHeight="1">
      <c r="A394" s="60"/>
      <c r="B394" s="7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 t="str">
        <f t="shared" si="1"/>
        <v/>
      </c>
      <c r="P394" s="60"/>
      <c r="Q394" s="60"/>
      <c r="R394" s="60"/>
      <c r="S394" s="60"/>
      <c r="T394" s="60"/>
    </row>
    <row r="395" ht="15.75" customHeight="1">
      <c r="A395" s="60"/>
      <c r="B395" s="7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 t="str">
        <f t="shared" si="1"/>
        <v/>
      </c>
      <c r="P395" s="60"/>
      <c r="Q395" s="60"/>
      <c r="R395" s="60"/>
      <c r="S395" s="60"/>
      <c r="T395" s="60"/>
    </row>
    <row r="396" ht="15.75" customHeight="1">
      <c r="A396" s="60"/>
      <c r="B396" s="7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 t="str">
        <f t="shared" si="1"/>
        <v/>
      </c>
      <c r="P396" s="60"/>
      <c r="Q396" s="60"/>
      <c r="R396" s="60"/>
      <c r="S396" s="60"/>
      <c r="T396" s="60"/>
    </row>
    <row r="397" ht="15.75" customHeight="1">
      <c r="A397" s="60"/>
      <c r="B397" s="7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 t="str">
        <f t="shared" si="1"/>
        <v/>
      </c>
      <c r="P397" s="60"/>
      <c r="Q397" s="60"/>
      <c r="R397" s="60"/>
      <c r="S397" s="60"/>
      <c r="T397" s="60"/>
    </row>
    <row r="398" ht="15.75" customHeight="1">
      <c r="A398" s="60"/>
      <c r="B398" s="7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 t="str">
        <f t="shared" si="1"/>
        <v/>
      </c>
      <c r="P398" s="60"/>
      <c r="Q398" s="60"/>
      <c r="R398" s="60"/>
      <c r="S398" s="60"/>
      <c r="T398" s="60"/>
    </row>
    <row r="399" ht="15.75" customHeight="1">
      <c r="A399" s="60"/>
      <c r="B399" s="7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 t="str">
        <f t="shared" si="1"/>
        <v/>
      </c>
      <c r="P399" s="60"/>
      <c r="Q399" s="60"/>
      <c r="R399" s="60"/>
      <c r="S399" s="60"/>
      <c r="T399" s="60"/>
    </row>
    <row r="400" ht="15.75" customHeight="1">
      <c r="A400" s="60"/>
      <c r="B400" s="7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 t="str">
        <f t="shared" si="1"/>
        <v/>
      </c>
      <c r="P400" s="60"/>
      <c r="Q400" s="60"/>
      <c r="R400" s="60"/>
      <c r="S400" s="60"/>
      <c r="T400" s="60"/>
    </row>
    <row r="401" ht="15.75" customHeight="1">
      <c r="A401" s="60"/>
      <c r="B401" s="7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 t="str">
        <f t="shared" si="1"/>
        <v/>
      </c>
      <c r="P401" s="60"/>
      <c r="Q401" s="60"/>
      <c r="R401" s="60"/>
      <c r="S401" s="60"/>
      <c r="T401" s="60"/>
    </row>
    <row r="402" ht="15.75" customHeight="1">
      <c r="A402" s="60"/>
      <c r="B402" s="7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 t="str">
        <f t="shared" si="1"/>
        <v/>
      </c>
      <c r="P402" s="60"/>
      <c r="Q402" s="60"/>
      <c r="R402" s="60"/>
      <c r="S402" s="60"/>
      <c r="T402" s="60"/>
    </row>
    <row r="403" ht="15.75" customHeight="1">
      <c r="A403" s="60"/>
      <c r="B403" s="7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 t="str">
        <f t="shared" si="1"/>
        <v/>
      </c>
      <c r="P403" s="60"/>
      <c r="Q403" s="60"/>
      <c r="R403" s="60"/>
      <c r="S403" s="60"/>
      <c r="T403" s="60"/>
    </row>
    <row r="404" ht="15.75" customHeight="1">
      <c r="A404" s="60"/>
      <c r="B404" s="7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 t="str">
        <f t="shared" si="1"/>
        <v/>
      </c>
      <c r="P404" s="60"/>
      <c r="Q404" s="60"/>
      <c r="R404" s="60"/>
      <c r="S404" s="60"/>
      <c r="T404" s="60"/>
    </row>
    <row r="405" ht="15.75" customHeight="1">
      <c r="A405" s="60"/>
      <c r="B405" s="7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 t="str">
        <f t="shared" si="1"/>
        <v/>
      </c>
      <c r="P405" s="60"/>
      <c r="Q405" s="60"/>
      <c r="R405" s="60"/>
      <c r="S405" s="60"/>
      <c r="T405" s="60"/>
    </row>
    <row r="406" ht="15.75" customHeight="1">
      <c r="A406" s="60"/>
      <c r="B406" s="7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 t="str">
        <f t="shared" si="1"/>
        <v/>
      </c>
      <c r="P406" s="60"/>
      <c r="Q406" s="60"/>
      <c r="R406" s="60"/>
      <c r="S406" s="60"/>
      <c r="T406" s="60"/>
    </row>
    <row r="407" ht="15.75" customHeight="1">
      <c r="A407" s="60"/>
      <c r="B407" s="7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 t="str">
        <f t="shared" si="1"/>
        <v/>
      </c>
      <c r="P407" s="60"/>
      <c r="Q407" s="60"/>
      <c r="R407" s="60"/>
      <c r="S407" s="60"/>
      <c r="T407" s="60"/>
    </row>
    <row r="408" ht="15.75" customHeight="1">
      <c r="A408" s="60"/>
      <c r="B408" s="7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 t="str">
        <f t="shared" si="1"/>
        <v/>
      </c>
      <c r="P408" s="60"/>
      <c r="Q408" s="60"/>
      <c r="R408" s="60"/>
      <c r="S408" s="60"/>
      <c r="T408" s="60"/>
    </row>
    <row r="409" ht="15.75" customHeight="1">
      <c r="A409" s="60"/>
      <c r="B409" s="7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 t="str">
        <f t="shared" si="1"/>
        <v/>
      </c>
      <c r="P409" s="60"/>
      <c r="Q409" s="60"/>
      <c r="R409" s="60"/>
      <c r="S409" s="60"/>
      <c r="T409" s="60"/>
    </row>
    <row r="410" ht="15.75" customHeight="1">
      <c r="A410" s="60"/>
      <c r="B410" s="7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 t="str">
        <f t="shared" si="1"/>
        <v/>
      </c>
      <c r="P410" s="60"/>
      <c r="Q410" s="60"/>
      <c r="R410" s="60"/>
      <c r="S410" s="60"/>
      <c r="T410" s="60"/>
    </row>
    <row r="411" ht="15.75" customHeight="1">
      <c r="A411" s="60"/>
      <c r="B411" s="7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 t="str">
        <f t="shared" si="1"/>
        <v/>
      </c>
      <c r="P411" s="60"/>
      <c r="Q411" s="60"/>
      <c r="R411" s="60"/>
      <c r="S411" s="60"/>
      <c r="T411" s="60"/>
    </row>
    <row r="412" ht="15.75" customHeight="1">
      <c r="A412" s="60"/>
      <c r="B412" s="7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 t="str">
        <f t="shared" si="1"/>
        <v/>
      </c>
      <c r="P412" s="60"/>
      <c r="Q412" s="60"/>
      <c r="R412" s="60"/>
      <c r="S412" s="60"/>
      <c r="T412" s="60"/>
    </row>
    <row r="413" ht="15.75" customHeight="1">
      <c r="A413" s="60"/>
      <c r="B413" s="7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 t="str">
        <f t="shared" si="1"/>
        <v/>
      </c>
      <c r="P413" s="60"/>
      <c r="Q413" s="60"/>
      <c r="R413" s="60"/>
      <c r="S413" s="60"/>
      <c r="T413" s="60"/>
    </row>
    <row r="414" ht="15.75" customHeight="1">
      <c r="A414" s="60"/>
      <c r="B414" s="7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 t="str">
        <f t="shared" si="1"/>
        <v/>
      </c>
      <c r="P414" s="60"/>
      <c r="Q414" s="60"/>
      <c r="R414" s="60"/>
      <c r="S414" s="60"/>
      <c r="T414" s="60"/>
    </row>
    <row r="415" ht="15.75" customHeight="1">
      <c r="A415" s="60"/>
      <c r="B415" s="7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 t="str">
        <f t="shared" si="1"/>
        <v/>
      </c>
      <c r="P415" s="60"/>
      <c r="Q415" s="60"/>
      <c r="R415" s="60"/>
      <c r="S415" s="60"/>
      <c r="T415" s="60"/>
    </row>
    <row r="416" ht="15.75" customHeight="1">
      <c r="A416" s="60"/>
      <c r="B416" s="7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 t="str">
        <f t="shared" si="1"/>
        <v/>
      </c>
      <c r="P416" s="60"/>
      <c r="Q416" s="60"/>
      <c r="R416" s="60"/>
      <c r="S416" s="60"/>
      <c r="T416" s="60"/>
    </row>
    <row r="417" ht="15.75" customHeight="1">
      <c r="A417" s="60"/>
      <c r="B417" s="7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 t="str">
        <f t="shared" si="1"/>
        <v/>
      </c>
      <c r="P417" s="60"/>
      <c r="Q417" s="60"/>
      <c r="R417" s="60"/>
      <c r="S417" s="60"/>
      <c r="T417" s="60"/>
    </row>
    <row r="418" ht="15.75" customHeight="1">
      <c r="A418" s="60"/>
      <c r="B418" s="7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 t="str">
        <f t="shared" si="1"/>
        <v/>
      </c>
      <c r="P418" s="60"/>
      <c r="Q418" s="60"/>
      <c r="R418" s="60"/>
      <c r="S418" s="60"/>
      <c r="T418" s="60"/>
    </row>
    <row r="419" ht="15.75" customHeight="1">
      <c r="A419" s="60"/>
      <c r="B419" s="7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 t="str">
        <f t="shared" si="1"/>
        <v/>
      </c>
      <c r="P419" s="60"/>
      <c r="Q419" s="60"/>
      <c r="R419" s="60"/>
      <c r="S419" s="60"/>
      <c r="T419" s="60"/>
    </row>
    <row r="420" ht="15.75" customHeight="1">
      <c r="A420" s="60"/>
      <c r="B420" s="7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 t="str">
        <f t="shared" si="1"/>
        <v/>
      </c>
      <c r="P420" s="60"/>
      <c r="Q420" s="60"/>
      <c r="R420" s="60"/>
      <c r="S420" s="60"/>
      <c r="T420" s="60"/>
    </row>
    <row r="421" ht="15.75" customHeight="1">
      <c r="A421" s="60"/>
      <c r="B421" s="7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 t="str">
        <f t="shared" si="1"/>
        <v/>
      </c>
      <c r="P421" s="60"/>
      <c r="Q421" s="60"/>
      <c r="R421" s="60"/>
      <c r="S421" s="60"/>
      <c r="T421" s="60"/>
    </row>
    <row r="422" ht="15.75" customHeight="1">
      <c r="A422" s="60"/>
      <c r="B422" s="7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 t="str">
        <f t="shared" si="1"/>
        <v/>
      </c>
      <c r="P422" s="60"/>
      <c r="Q422" s="60"/>
      <c r="R422" s="60"/>
      <c r="S422" s="60"/>
      <c r="T422" s="60"/>
    </row>
    <row r="423" ht="15.75" customHeight="1">
      <c r="A423" s="60"/>
      <c r="B423" s="7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 t="str">
        <f t="shared" si="1"/>
        <v/>
      </c>
      <c r="P423" s="60"/>
      <c r="Q423" s="60"/>
      <c r="R423" s="60"/>
      <c r="S423" s="60"/>
      <c r="T423" s="60"/>
    </row>
    <row r="424" ht="15.75" customHeight="1">
      <c r="A424" s="60"/>
      <c r="B424" s="7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 t="str">
        <f t="shared" si="1"/>
        <v/>
      </c>
      <c r="P424" s="60"/>
      <c r="Q424" s="60"/>
      <c r="R424" s="60"/>
      <c r="S424" s="60"/>
      <c r="T424" s="60"/>
    </row>
    <row r="425" ht="15.75" customHeight="1">
      <c r="A425" s="60"/>
      <c r="B425" s="7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 t="str">
        <f t="shared" si="1"/>
        <v/>
      </c>
      <c r="P425" s="60"/>
      <c r="Q425" s="60"/>
      <c r="R425" s="60"/>
      <c r="S425" s="60"/>
      <c r="T425" s="60"/>
    </row>
    <row r="426" ht="15.75" customHeight="1">
      <c r="A426" s="60"/>
      <c r="B426" s="7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 t="str">
        <f t="shared" si="1"/>
        <v/>
      </c>
      <c r="P426" s="60"/>
      <c r="Q426" s="60"/>
      <c r="R426" s="60"/>
      <c r="S426" s="60"/>
      <c r="T426" s="60"/>
    </row>
    <row r="427" ht="15.75" customHeight="1">
      <c r="A427" s="60"/>
      <c r="B427" s="7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 t="str">
        <f t="shared" si="1"/>
        <v/>
      </c>
      <c r="P427" s="60"/>
      <c r="Q427" s="60"/>
      <c r="R427" s="60"/>
      <c r="S427" s="60"/>
      <c r="T427" s="60"/>
    </row>
    <row r="428" ht="15.75" customHeight="1">
      <c r="A428" s="60"/>
      <c r="B428" s="7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 t="str">
        <f t="shared" si="1"/>
        <v/>
      </c>
      <c r="P428" s="60"/>
      <c r="Q428" s="60"/>
      <c r="R428" s="60"/>
      <c r="S428" s="60"/>
      <c r="T428" s="60"/>
    </row>
    <row r="429" ht="15.75" customHeight="1">
      <c r="A429" s="60"/>
      <c r="B429" s="7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 t="str">
        <f t="shared" si="1"/>
        <v/>
      </c>
      <c r="P429" s="60"/>
      <c r="Q429" s="60"/>
      <c r="R429" s="60"/>
      <c r="S429" s="60"/>
      <c r="T429" s="60"/>
    </row>
    <row r="430" ht="15.75" customHeight="1">
      <c r="A430" s="60"/>
      <c r="B430" s="7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 t="str">
        <f t="shared" si="1"/>
        <v/>
      </c>
      <c r="P430" s="60"/>
      <c r="Q430" s="60"/>
      <c r="R430" s="60"/>
      <c r="S430" s="60"/>
      <c r="T430" s="60"/>
    </row>
    <row r="431" ht="15.75" customHeight="1">
      <c r="A431" s="60"/>
      <c r="B431" s="7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 t="str">
        <f t="shared" si="1"/>
        <v/>
      </c>
      <c r="P431" s="60"/>
      <c r="Q431" s="60"/>
      <c r="R431" s="60"/>
      <c r="S431" s="60"/>
      <c r="T431" s="60"/>
    </row>
    <row r="432" ht="15.75" customHeight="1">
      <c r="A432" s="60"/>
      <c r="B432" s="7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 t="str">
        <f t="shared" si="1"/>
        <v/>
      </c>
      <c r="P432" s="60"/>
      <c r="Q432" s="60"/>
      <c r="R432" s="60"/>
      <c r="S432" s="60"/>
      <c r="T432" s="60"/>
    </row>
    <row r="433" ht="15.75" customHeight="1">
      <c r="A433" s="60"/>
      <c r="B433" s="7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 t="str">
        <f t="shared" si="1"/>
        <v/>
      </c>
      <c r="P433" s="60"/>
      <c r="Q433" s="60"/>
      <c r="R433" s="60"/>
      <c r="S433" s="60"/>
      <c r="T433" s="60"/>
    </row>
    <row r="434" ht="15.75" customHeight="1">
      <c r="A434" s="60"/>
      <c r="B434" s="7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 t="str">
        <f t="shared" si="1"/>
        <v/>
      </c>
      <c r="P434" s="60"/>
      <c r="Q434" s="60"/>
      <c r="R434" s="60"/>
      <c r="S434" s="60"/>
      <c r="T434" s="60"/>
    </row>
    <row r="435" ht="15.75" customHeight="1">
      <c r="A435" s="60"/>
      <c r="B435" s="7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 t="str">
        <f t="shared" si="1"/>
        <v/>
      </c>
      <c r="P435" s="60"/>
      <c r="Q435" s="60"/>
      <c r="R435" s="60"/>
      <c r="S435" s="60"/>
      <c r="T435" s="60"/>
    </row>
    <row r="436" ht="15.75" customHeight="1">
      <c r="A436" s="60"/>
      <c r="B436" s="7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 t="str">
        <f t="shared" si="1"/>
        <v/>
      </c>
      <c r="P436" s="60"/>
      <c r="Q436" s="60"/>
      <c r="R436" s="60"/>
      <c r="S436" s="60"/>
      <c r="T436" s="60"/>
    </row>
    <row r="437" ht="15.75" customHeight="1">
      <c r="A437" s="60"/>
      <c r="B437" s="7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 t="str">
        <f t="shared" si="1"/>
        <v/>
      </c>
      <c r="P437" s="60"/>
      <c r="Q437" s="60"/>
      <c r="R437" s="60"/>
      <c r="S437" s="60"/>
      <c r="T437" s="60"/>
    </row>
    <row r="438" ht="15.75" customHeight="1">
      <c r="A438" s="60"/>
      <c r="B438" s="7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 t="str">
        <f t="shared" si="1"/>
        <v/>
      </c>
      <c r="P438" s="60"/>
      <c r="Q438" s="60"/>
      <c r="R438" s="60"/>
      <c r="S438" s="60"/>
      <c r="T438" s="60"/>
    </row>
    <row r="439" ht="15.75" customHeight="1">
      <c r="A439" s="60"/>
      <c r="B439" s="7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 t="str">
        <f t="shared" si="1"/>
        <v/>
      </c>
      <c r="P439" s="60"/>
      <c r="Q439" s="60"/>
      <c r="R439" s="60"/>
      <c r="S439" s="60"/>
      <c r="T439" s="60"/>
    </row>
    <row r="440" ht="15.75" customHeight="1">
      <c r="A440" s="60"/>
      <c r="B440" s="7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 t="str">
        <f t="shared" si="1"/>
        <v/>
      </c>
      <c r="P440" s="60"/>
      <c r="Q440" s="60"/>
      <c r="R440" s="60"/>
      <c r="S440" s="60"/>
      <c r="T440" s="60"/>
    </row>
    <row r="441" ht="15.75" customHeight="1">
      <c r="A441" s="60"/>
      <c r="B441" s="7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 t="str">
        <f t="shared" si="1"/>
        <v/>
      </c>
      <c r="P441" s="60"/>
      <c r="Q441" s="60"/>
      <c r="R441" s="60"/>
      <c r="S441" s="60"/>
      <c r="T441" s="60"/>
    </row>
    <row r="442" ht="15.75" customHeight="1">
      <c r="A442" s="60"/>
      <c r="B442" s="7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 t="str">
        <f t="shared" si="1"/>
        <v/>
      </c>
      <c r="P442" s="60"/>
      <c r="Q442" s="60"/>
      <c r="R442" s="60"/>
      <c r="S442" s="60"/>
      <c r="T442" s="60"/>
    </row>
    <row r="443" ht="15.75" customHeight="1">
      <c r="A443" s="60"/>
      <c r="B443" s="7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 t="str">
        <f t="shared" si="1"/>
        <v/>
      </c>
      <c r="P443" s="60"/>
      <c r="Q443" s="60"/>
      <c r="R443" s="60"/>
      <c r="S443" s="60"/>
      <c r="T443" s="60"/>
    </row>
    <row r="444" ht="15.75" customHeight="1">
      <c r="A444" s="60"/>
      <c r="B444" s="7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 t="str">
        <f t="shared" si="1"/>
        <v/>
      </c>
      <c r="P444" s="60"/>
      <c r="Q444" s="60"/>
      <c r="R444" s="60"/>
      <c r="S444" s="60"/>
      <c r="T444" s="60"/>
    </row>
    <row r="445" ht="15.75" customHeight="1">
      <c r="A445" s="60"/>
      <c r="B445" s="7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 t="str">
        <f t="shared" si="1"/>
        <v/>
      </c>
      <c r="P445" s="60"/>
      <c r="Q445" s="60"/>
      <c r="R445" s="60"/>
      <c r="S445" s="60"/>
      <c r="T445" s="60"/>
    </row>
    <row r="446" ht="15.75" customHeight="1">
      <c r="A446" s="60"/>
      <c r="B446" s="7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 t="str">
        <f t="shared" si="1"/>
        <v/>
      </c>
      <c r="P446" s="60"/>
      <c r="Q446" s="60"/>
      <c r="R446" s="60"/>
      <c r="S446" s="60"/>
      <c r="T446" s="60"/>
    </row>
    <row r="447" ht="15.75" customHeight="1">
      <c r="A447" s="60"/>
      <c r="B447" s="7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 t="str">
        <f t="shared" si="1"/>
        <v/>
      </c>
      <c r="P447" s="60"/>
      <c r="Q447" s="60"/>
      <c r="R447" s="60"/>
      <c r="S447" s="60"/>
      <c r="T447" s="60"/>
    </row>
    <row r="448" ht="15.75" customHeight="1">
      <c r="A448" s="60"/>
      <c r="B448" s="7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 t="str">
        <f t="shared" si="1"/>
        <v/>
      </c>
      <c r="P448" s="60"/>
      <c r="Q448" s="60"/>
      <c r="R448" s="60"/>
      <c r="S448" s="60"/>
      <c r="T448" s="60"/>
    </row>
    <row r="449" ht="15.75" customHeight="1">
      <c r="A449" s="60"/>
      <c r="B449" s="7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 t="str">
        <f t="shared" si="1"/>
        <v/>
      </c>
      <c r="P449" s="60"/>
      <c r="Q449" s="60"/>
      <c r="R449" s="60"/>
      <c r="S449" s="60"/>
      <c r="T449" s="60"/>
    </row>
    <row r="450" ht="15.75" customHeight="1">
      <c r="A450" s="60"/>
      <c r="B450" s="7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 t="str">
        <f t="shared" si="1"/>
        <v/>
      </c>
      <c r="P450" s="60"/>
      <c r="Q450" s="60"/>
      <c r="R450" s="60"/>
      <c r="S450" s="60"/>
      <c r="T450" s="60"/>
    </row>
    <row r="451" ht="15.75" customHeight="1">
      <c r="A451" s="60"/>
      <c r="B451" s="7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 t="str">
        <f t="shared" si="1"/>
        <v/>
      </c>
      <c r="P451" s="60"/>
      <c r="Q451" s="60"/>
      <c r="R451" s="60"/>
      <c r="S451" s="60"/>
      <c r="T451" s="60"/>
    </row>
    <row r="452" ht="15.75" customHeight="1">
      <c r="A452" s="60"/>
      <c r="B452" s="7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 t="str">
        <f t="shared" si="1"/>
        <v/>
      </c>
      <c r="P452" s="60"/>
      <c r="Q452" s="60"/>
      <c r="R452" s="60"/>
      <c r="S452" s="60"/>
      <c r="T452" s="60"/>
    </row>
    <row r="453" ht="15.75" customHeight="1">
      <c r="A453" s="60"/>
      <c r="B453" s="7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 t="str">
        <f t="shared" si="1"/>
        <v/>
      </c>
      <c r="P453" s="60"/>
      <c r="Q453" s="60"/>
      <c r="R453" s="60"/>
      <c r="S453" s="60"/>
      <c r="T453" s="60"/>
    </row>
    <row r="454" ht="15.75" customHeight="1">
      <c r="A454" s="60"/>
      <c r="B454" s="7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 t="str">
        <f t="shared" si="1"/>
        <v/>
      </c>
      <c r="P454" s="60"/>
      <c r="Q454" s="60"/>
      <c r="R454" s="60"/>
      <c r="S454" s="60"/>
      <c r="T454" s="60"/>
    </row>
    <row r="455" ht="15.75" customHeight="1">
      <c r="A455" s="60"/>
      <c r="B455" s="7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 t="str">
        <f t="shared" si="1"/>
        <v/>
      </c>
      <c r="P455" s="60"/>
      <c r="Q455" s="60"/>
      <c r="R455" s="60"/>
      <c r="S455" s="60"/>
      <c r="T455" s="60"/>
    </row>
    <row r="456" ht="15.75" customHeight="1">
      <c r="A456" s="60"/>
      <c r="B456" s="7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 t="str">
        <f t="shared" si="1"/>
        <v/>
      </c>
      <c r="P456" s="60"/>
      <c r="Q456" s="60"/>
      <c r="R456" s="60"/>
      <c r="S456" s="60"/>
      <c r="T456" s="60"/>
    </row>
    <row r="457" ht="15.75" customHeight="1">
      <c r="A457" s="60"/>
      <c r="B457" s="7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 t="str">
        <f t="shared" si="1"/>
        <v/>
      </c>
      <c r="P457" s="60"/>
      <c r="Q457" s="60"/>
      <c r="R457" s="60"/>
      <c r="S457" s="60"/>
      <c r="T457" s="60"/>
    </row>
    <row r="458" ht="15.75" customHeight="1">
      <c r="A458" s="60"/>
      <c r="B458" s="7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 t="str">
        <f t="shared" si="1"/>
        <v/>
      </c>
      <c r="P458" s="60"/>
      <c r="Q458" s="60"/>
      <c r="R458" s="60"/>
      <c r="S458" s="60"/>
      <c r="T458" s="60"/>
    </row>
    <row r="459" ht="15.75" customHeight="1">
      <c r="A459" s="60"/>
      <c r="B459" s="7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 t="str">
        <f t="shared" si="1"/>
        <v/>
      </c>
      <c r="P459" s="60"/>
      <c r="Q459" s="60"/>
      <c r="R459" s="60"/>
      <c r="S459" s="60"/>
      <c r="T459" s="60"/>
    </row>
    <row r="460" ht="15.75" customHeight="1">
      <c r="A460" s="60"/>
      <c r="B460" s="7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 t="str">
        <f t="shared" si="1"/>
        <v/>
      </c>
      <c r="P460" s="60"/>
      <c r="Q460" s="60"/>
      <c r="R460" s="60"/>
      <c r="S460" s="60"/>
      <c r="T460" s="60"/>
    </row>
    <row r="461" ht="15.75" customHeight="1">
      <c r="A461" s="60"/>
      <c r="B461" s="7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 t="str">
        <f t="shared" si="1"/>
        <v/>
      </c>
      <c r="P461" s="60"/>
      <c r="Q461" s="60"/>
      <c r="R461" s="60"/>
      <c r="S461" s="60"/>
      <c r="T461" s="60"/>
    </row>
    <row r="462" ht="15.75" customHeight="1">
      <c r="A462" s="60"/>
      <c r="B462" s="7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 t="str">
        <f t="shared" si="1"/>
        <v/>
      </c>
      <c r="P462" s="60"/>
      <c r="Q462" s="60"/>
      <c r="R462" s="60"/>
      <c r="S462" s="60"/>
      <c r="T462" s="60"/>
    </row>
    <row r="463" ht="15.75" customHeight="1">
      <c r="A463" s="60"/>
      <c r="B463" s="7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 t="str">
        <f t="shared" si="1"/>
        <v/>
      </c>
      <c r="P463" s="60"/>
      <c r="Q463" s="60"/>
      <c r="R463" s="60"/>
      <c r="S463" s="60"/>
      <c r="T463" s="60"/>
    </row>
    <row r="464" ht="15.75" customHeight="1">
      <c r="A464" s="60"/>
      <c r="B464" s="7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 t="str">
        <f t="shared" si="1"/>
        <v/>
      </c>
      <c r="P464" s="60"/>
      <c r="Q464" s="60"/>
      <c r="R464" s="60"/>
      <c r="S464" s="60"/>
      <c r="T464" s="60"/>
    </row>
    <row r="465" ht="15.75" customHeight="1">
      <c r="A465" s="60"/>
      <c r="B465" s="7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 t="str">
        <f t="shared" si="1"/>
        <v/>
      </c>
      <c r="P465" s="60"/>
      <c r="Q465" s="60"/>
      <c r="R465" s="60"/>
      <c r="S465" s="60"/>
      <c r="T465" s="60"/>
    </row>
    <row r="466" ht="15.75" customHeight="1">
      <c r="A466" s="60"/>
      <c r="B466" s="7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 t="str">
        <f t="shared" si="1"/>
        <v/>
      </c>
      <c r="P466" s="60"/>
      <c r="Q466" s="60"/>
      <c r="R466" s="60"/>
      <c r="S466" s="60"/>
      <c r="T466" s="60"/>
    </row>
    <row r="467" ht="15.75" customHeight="1">
      <c r="A467" s="60"/>
      <c r="B467" s="7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 t="str">
        <f t="shared" si="1"/>
        <v/>
      </c>
      <c r="P467" s="60"/>
      <c r="Q467" s="60"/>
      <c r="R467" s="60"/>
      <c r="S467" s="60"/>
      <c r="T467" s="60"/>
    </row>
    <row r="468" ht="15.75" customHeight="1">
      <c r="A468" s="60"/>
      <c r="B468" s="7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 t="str">
        <f t="shared" si="1"/>
        <v/>
      </c>
      <c r="P468" s="60"/>
      <c r="Q468" s="60"/>
      <c r="R468" s="60"/>
      <c r="S468" s="60"/>
      <c r="T468" s="60"/>
    </row>
    <row r="469" ht="15.75" customHeight="1">
      <c r="A469" s="60"/>
      <c r="B469" s="7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 t="str">
        <f t="shared" si="1"/>
        <v/>
      </c>
      <c r="P469" s="60"/>
      <c r="Q469" s="60"/>
      <c r="R469" s="60"/>
      <c r="S469" s="60"/>
      <c r="T469" s="60"/>
    </row>
    <row r="470" ht="15.75" customHeight="1">
      <c r="A470" s="60"/>
      <c r="B470" s="7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 t="str">
        <f t="shared" si="1"/>
        <v/>
      </c>
      <c r="P470" s="60"/>
      <c r="Q470" s="60"/>
      <c r="R470" s="60"/>
      <c r="S470" s="60"/>
      <c r="T470" s="60"/>
    </row>
    <row r="471" ht="15.75" customHeight="1">
      <c r="A471" s="60"/>
      <c r="B471" s="7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 t="str">
        <f t="shared" si="1"/>
        <v/>
      </c>
      <c r="P471" s="60"/>
      <c r="Q471" s="60"/>
      <c r="R471" s="60"/>
      <c r="S471" s="60"/>
      <c r="T471" s="60"/>
    </row>
    <row r="472" ht="15.75" customHeight="1">
      <c r="A472" s="60"/>
      <c r="B472" s="7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 t="str">
        <f t="shared" si="1"/>
        <v/>
      </c>
      <c r="P472" s="60"/>
      <c r="Q472" s="60"/>
      <c r="R472" s="60"/>
      <c r="S472" s="60"/>
      <c r="T472" s="60"/>
    </row>
    <row r="473" ht="15.75" customHeight="1">
      <c r="A473" s="60"/>
      <c r="B473" s="7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 t="str">
        <f t="shared" si="1"/>
        <v/>
      </c>
      <c r="P473" s="60"/>
      <c r="Q473" s="60"/>
      <c r="R473" s="60"/>
      <c r="S473" s="60"/>
      <c r="T473" s="60"/>
    </row>
    <row r="474" ht="15.75" customHeight="1">
      <c r="A474" s="60"/>
      <c r="B474" s="7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 t="str">
        <f t="shared" si="1"/>
        <v/>
      </c>
      <c r="P474" s="60"/>
      <c r="Q474" s="60"/>
      <c r="R474" s="60"/>
      <c r="S474" s="60"/>
      <c r="T474" s="60"/>
    </row>
    <row r="475" ht="15.75" customHeight="1">
      <c r="A475" s="60"/>
      <c r="B475" s="7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 t="str">
        <f t="shared" si="1"/>
        <v/>
      </c>
      <c r="P475" s="60"/>
      <c r="Q475" s="60"/>
      <c r="R475" s="60"/>
      <c r="S475" s="60"/>
      <c r="T475" s="60"/>
    </row>
    <row r="476" ht="15.75" customHeight="1">
      <c r="A476" s="60"/>
      <c r="B476" s="7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 t="str">
        <f t="shared" si="1"/>
        <v/>
      </c>
      <c r="P476" s="60"/>
      <c r="Q476" s="60"/>
      <c r="R476" s="60"/>
      <c r="S476" s="60"/>
      <c r="T476" s="60"/>
    </row>
    <row r="477" ht="15.75" customHeight="1">
      <c r="A477" s="60"/>
      <c r="B477" s="7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 t="str">
        <f t="shared" si="1"/>
        <v/>
      </c>
      <c r="P477" s="60"/>
      <c r="Q477" s="60"/>
      <c r="R477" s="60"/>
      <c r="S477" s="60"/>
      <c r="T477" s="60"/>
    </row>
    <row r="478" ht="15.75" customHeight="1">
      <c r="A478" s="60"/>
      <c r="B478" s="7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 t="str">
        <f t="shared" si="1"/>
        <v/>
      </c>
      <c r="P478" s="60"/>
      <c r="Q478" s="60"/>
      <c r="R478" s="60"/>
      <c r="S478" s="60"/>
      <c r="T478" s="60"/>
    </row>
    <row r="479" ht="15.75" customHeight="1">
      <c r="A479" s="60"/>
      <c r="B479" s="7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 t="str">
        <f t="shared" si="1"/>
        <v/>
      </c>
      <c r="P479" s="60"/>
      <c r="Q479" s="60"/>
      <c r="R479" s="60"/>
      <c r="S479" s="60"/>
      <c r="T479" s="60"/>
    </row>
    <row r="480" ht="15.75" customHeight="1">
      <c r="A480" s="60"/>
      <c r="B480" s="7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 t="str">
        <f t="shared" si="1"/>
        <v/>
      </c>
      <c r="P480" s="60"/>
      <c r="Q480" s="60"/>
      <c r="R480" s="60"/>
      <c r="S480" s="60"/>
      <c r="T480" s="60"/>
    </row>
    <row r="481" ht="15.75" customHeight="1">
      <c r="A481" s="60"/>
      <c r="B481" s="7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 t="str">
        <f t="shared" si="1"/>
        <v/>
      </c>
      <c r="P481" s="60"/>
      <c r="Q481" s="60"/>
      <c r="R481" s="60"/>
      <c r="S481" s="60"/>
      <c r="T481" s="60"/>
    </row>
    <row r="482" ht="15.75" customHeight="1">
      <c r="A482" s="60"/>
      <c r="B482" s="7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 t="str">
        <f t="shared" si="1"/>
        <v/>
      </c>
      <c r="P482" s="60"/>
      <c r="Q482" s="60"/>
      <c r="R482" s="60"/>
      <c r="S482" s="60"/>
      <c r="T482" s="60"/>
    </row>
    <row r="483" ht="15.75" customHeight="1">
      <c r="A483" s="60"/>
      <c r="B483" s="7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 t="str">
        <f t="shared" si="1"/>
        <v/>
      </c>
      <c r="P483" s="60"/>
      <c r="Q483" s="60"/>
      <c r="R483" s="60"/>
      <c r="S483" s="60"/>
      <c r="T483" s="60"/>
    </row>
    <row r="484" ht="15.75" customHeight="1">
      <c r="A484" s="60"/>
      <c r="B484" s="7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 t="str">
        <f t="shared" si="1"/>
        <v/>
      </c>
      <c r="P484" s="60"/>
      <c r="Q484" s="60"/>
      <c r="R484" s="60"/>
      <c r="S484" s="60"/>
      <c r="T484" s="60"/>
    </row>
    <row r="485" ht="15.75" customHeight="1">
      <c r="A485" s="60"/>
      <c r="B485" s="7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 t="str">
        <f t="shared" si="1"/>
        <v/>
      </c>
      <c r="P485" s="60"/>
      <c r="Q485" s="60"/>
      <c r="R485" s="60"/>
      <c r="S485" s="60"/>
      <c r="T485" s="60"/>
    </row>
    <row r="486" ht="15.75" customHeight="1">
      <c r="A486" s="60"/>
      <c r="B486" s="7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 t="str">
        <f t="shared" si="1"/>
        <v/>
      </c>
      <c r="P486" s="60"/>
      <c r="Q486" s="60"/>
      <c r="R486" s="60"/>
      <c r="S486" s="60"/>
      <c r="T486" s="60"/>
    </row>
    <row r="487" ht="15.75" customHeight="1">
      <c r="A487" s="60"/>
      <c r="B487" s="7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 t="str">
        <f t="shared" si="1"/>
        <v/>
      </c>
      <c r="P487" s="60"/>
      <c r="Q487" s="60"/>
      <c r="R487" s="60"/>
      <c r="S487" s="60"/>
      <c r="T487" s="60"/>
    </row>
    <row r="488" ht="15.75" customHeight="1">
      <c r="A488" s="60"/>
      <c r="B488" s="7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 t="str">
        <f t="shared" si="1"/>
        <v/>
      </c>
      <c r="P488" s="60"/>
      <c r="Q488" s="60"/>
      <c r="R488" s="60"/>
      <c r="S488" s="60"/>
      <c r="T488" s="60"/>
    </row>
    <row r="489" ht="15.75" customHeight="1">
      <c r="A489" s="60"/>
      <c r="B489" s="7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 t="str">
        <f t="shared" si="1"/>
        <v/>
      </c>
      <c r="P489" s="60"/>
      <c r="Q489" s="60"/>
      <c r="R489" s="60"/>
      <c r="S489" s="60"/>
      <c r="T489" s="60"/>
    </row>
    <row r="490" ht="15.75" customHeight="1">
      <c r="A490" s="60"/>
      <c r="B490" s="7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 t="str">
        <f t="shared" si="1"/>
        <v/>
      </c>
      <c r="P490" s="60"/>
      <c r="Q490" s="60"/>
      <c r="R490" s="60"/>
      <c r="S490" s="60"/>
      <c r="T490" s="60"/>
    </row>
    <row r="491" ht="15.75" customHeight="1">
      <c r="A491" s="60"/>
      <c r="B491" s="7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 t="str">
        <f t="shared" si="1"/>
        <v/>
      </c>
      <c r="P491" s="60"/>
      <c r="Q491" s="60"/>
      <c r="R491" s="60"/>
      <c r="S491" s="60"/>
      <c r="T491" s="60"/>
    </row>
    <row r="492" ht="15.75" customHeight="1">
      <c r="A492" s="60"/>
      <c r="B492" s="7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 t="str">
        <f t="shared" si="1"/>
        <v/>
      </c>
      <c r="P492" s="60"/>
      <c r="Q492" s="60"/>
      <c r="R492" s="60"/>
      <c r="S492" s="60"/>
      <c r="T492" s="60"/>
    </row>
    <row r="493" ht="15.75" customHeight="1">
      <c r="A493" s="60"/>
      <c r="B493" s="7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 t="str">
        <f t="shared" si="1"/>
        <v/>
      </c>
      <c r="P493" s="60"/>
      <c r="Q493" s="60"/>
      <c r="R493" s="60"/>
      <c r="S493" s="60"/>
      <c r="T493" s="60"/>
    </row>
    <row r="494" ht="15.75" customHeight="1">
      <c r="A494" s="60"/>
      <c r="B494" s="7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 t="str">
        <f t="shared" si="1"/>
        <v/>
      </c>
      <c r="P494" s="60"/>
      <c r="Q494" s="60"/>
      <c r="R494" s="60"/>
      <c r="S494" s="60"/>
      <c r="T494" s="60"/>
    </row>
    <row r="495" ht="15.75" customHeight="1">
      <c r="A495" s="60"/>
      <c r="B495" s="7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 t="str">
        <f t="shared" si="1"/>
        <v/>
      </c>
      <c r="P495" s="60"/>
      <c r="Q495" s="60"/>
      <c r="R495" s="60"/>
      <c r="S495" s="60"/>
      <c r="T495" s="60"/>
    </row>
    <row r="496" ht="15.75" customHeight="1">
      <c r="A496" s="60"/>
      <c r="B496" s="7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 t="str">
        <f t="shared" si="1"/>
        <v/>
      </c>
      <c r="P496" s="60"/>
      <c r="Q496" s="60"/>
      <c r="R496" s="60"/>
      <c r="S496" s="60"/>
      <c r="T496" s="60"/>
    </row>
    <row r="497" ht="15.75" customHeight="1">
      <c r="A497" s="60"/>
      <c r="B497" s="7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 t="str">
        <f t="shared" si="1"/>
        <v/>
      </c>
      <c r="P497" s="60"/>
      <c r="Q497" s="60"/>
      <c r="R497" s="60"/>
      <c r="S497" s="60"/>
      <c r="T497" s="60"/>
    </row>
    <row r="498" ht="15.75" customHeight="1">
      <c r="A498" s="60"/>
      <c r="B498" s="7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 t="str">
        <f t="shared" si="1"/>
        <v/>
      </c>
      <c r="P498" s="60"/>
      <c r="Q498" s="60"/>
      <c r="R498" s="60"/>
      <c r="S498" s="60"/>
      <c r="T498" s="60"/>
    </row>
    <row r="499" ht="15.75" customHeight="1">
      <c r="A499" s="60"/>
      <c r="B499" s="7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 t="str">
        <f t="shared" si="1"/>
        <v/>
      </c>
      <c r="P499" s="60"/>
      <c r="Q499" s="60"/>
      <c r="R499" s="60"/>
      <c r="S499" s="60"/>
      <c r="T499" s="60"/>
    </row>
    <row r="500" ht="15.75" customHeight="1">
      <c r="A500" s="60"/>
      <c r="B500" s="7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 t="str">
        <f t="shared" si="1"/>
        <v/>
      </c>
      <c r="P500" s="60"/>
      <c r="Q500" s="60"/>
      <c r="R500" s="60"/>
      <c r="S500" s="60"/>
      <c r="T500" s="60"/>
    </row>
    <row r="501" ht="15.75" customHeight="1">
      <c r="A501" s="60"/>
      <c r="B501" s="7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 t="str">
        <f t="shared" si="1"/>
        <v/>
      </c>
      <c r="P501" s="60"/>
      <c r="Q501" s="60"/>
      <c r="R501" s="60"/>
      <c r="S501" s="60"/>
      <c r="T501" s="60"/>
    </row>
    <row r="502" ht="15.75" customHeight="1">
      <c r="A502" s="60"/>
      <c r="B502" s="7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 t="str">
        <f t="shared" si="1"/>
        <v/>
      </c>
      <c r="P502" s="60"/>
      <c r="Q502" s="60"/>
      <c r="R502" s="60"/>
      <c r="S502" s="60"/>
      <c r="T502" s="60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L3:L502">
      <formula1>"Pending,Approved,Rejected"</formula1>
    </dataValidation>
    <dataValidation type="list" allowBlank="1" sqref="C3:C502">
      <formula1>"Google Business Profile,Blog,Email,Social,YouTube"</formula1>
    </dataValidation>
    <dataValidation type="list" allowBlank="1" sqref="S3:S502">
      <formula1>"STANDARD,EVENT,OFFER,ALERT"</formula1>
    </dataValidation>
    <dataValidation type="list" allowBlank="1" sqref="G3:G502">
      <formula1>"Planned,Ready to Generate,Generated,Approved,Scheduled,Published,Hold,Drafted"</formula1>
    </dataValidation>
    <dataValidation type="list" allowBlank="1" sqref="D3:D502">
      <formula1>"Blog,Article,Offer,Update,Event,Newsletter,Social,Video"</formula1>
    </dataValidation>
    <dataValidation type="list" allowBlank="1" sqref="K3:K302 M3:R302 M303:M502 R303:R502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34.0"/>
    <col customWidth="1" min="3" max="3" width="60.0"/>
    <col customWidth="1" min="4" max="26" width="8.71"/>
  </cols>
  <sheetData>
    <row r="1" ht="27.75" customHeight="1">
      <c r="A1" s="1" t="s">
        <v>191</v>
      </c>
      <c r="B1" s="2"/>
      <c r="C1" s="3"/>
    </row>
    <row r="2" ht="24.0" customHeight="1">
      <c r="A2" s="71" t="s">
        <v>192</v>
      </c>
      <c r="B2" s="71" t="s">
        <v>193</v>
      </c>
      <c r="C2" s="71" t="s">
        <v>164</v>
      </c>
    </row>
    <row r="3">
      <c r="A3" s="6" t="s">
        <v>194</v>
      </c>
      <c r="B3" s="6" t="s">
        <v>195</v>
      </c>
      <c r="C3" s="6" t="s">
        <v>196</v>
      </c>
    </row>
    <row r="4">
      <c r="A4" s="6" t="s">
        <v>197</v>
      </c>
      <c r="B4" s="6" t="s">
        <v>198</v>
      </c>
      <c r="C4" s="6" t="s">
        <v>199</v>
      </c>
    </row>
    <row r="5">
      <c r="A5" s="6" t="s">
        <v>200</v>
      </c>
      <c r="B5" s="6" t="s">
        <v>47</v>
      </c>
      <c r="C5" s="6" t="s">
        <v>201</v>
      </c>
    </row>
    <row r="6">
      <c r="A6" s="6" t="s">
        <v>202</v>
      </c>
      <c r="B6" s="6" t="s">
        <v>203</v>
      </c>
      <c r="C6" s="6" t="s">
        <v>204</v>
      </c>
    </row>
    <row r="7">
      <c r="A7" s="6" t="s">
        <v>205</v>
      </c>
      <c r="B7" s="6" t="s">
        <v>206</v>
      </c>
      <c r="C7" s="6" t="s">
        <v>207</v>
      </c>
    </row>
    <row r="8">
      <c r="A8" s="6" t="s">
        <v>208</v>
      </c>
      <c r="B8" s="6" t="s">
        <v>171</v>
      </c>
      <c r="C8" s="6" t="s">
        <v>209</v>
      </c>
    </row>
    <row r="9">
      <c r="A9" s="6" t="s">
        <v>210</v>
      </c>
      <c r="B9" s="6" t="s">
        <v>182</v>
      </c>
      <c r="C9" s="6" t="s">
        <v>211</v>
      </c>
    </row>
    <row r="10">
      <c r="A10" s="6" t="s">
        <v>212</v>
      </c>
      <c r="B10" s="6" t="s">
        <v>213</v>
      </c>
      <c r="C10" s="6" t="s">
        <v>214</v>
      </c>
    </row>
    <row r="11">
      <c r="A11" s="6" t="s">
        <v>215</v>
      </c>
      <c r="B11" s="6" t="s">
        <v>216</v>
      </c>
      <c r="C11" s="6" t="s">
        <v>217</v>
      </c>
    </row>
    <row r="12">
      <c r="A12" s="6" t="s">
        <v>218</v>
      </c>
      <c r="B12" s="6" t="s">
        <v>54</v>
      </c>
      <c r="C12" s="6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72.0"/>
    <col customWidth="1" min="4" max="26" width="8.71"/>
  </cols>
  <sheetData>
    <row r="1" ht="27.75" customHeight="1">
      <c r="A1" s="15" t="s">
        <v>220</v>
      </c>
      <c r="B1" s="2"/>
      <c r="C1" s="2"/>
      <c r="D1" s="2"/>
      <c r="E1" s="2"/>
      <c r="F1" s="3"/>
    </row>
    <row r="2" ht="24.0" customHeight="1">
      <c r="A2" s="71" t="s">
        <v>221</v>
      </c>
      <c r="B2" s="71" t="s">
        <v>222</v>
      </c>
      <c r="C2" s="71" t="s">
        <v>164</v>
      </c>
    </row>
    <row r="3">
      <c r="A3" s="6">
        <v>1.0</v>
      </c>
      <c r="B3" s="6" t="s">
        <v>223</v>
      </c>
      <c r="C3" s="6" t="s">
        <v>224</v>
      </c>
    </row>
    <row r="4">
      <c r="A4" s="6">
        <v>2.0</v>
      </c>
      <c r="B4" s="6" t="s">
        <v>225</v>
      </c>
      <c r="C4" s="6" t="s">
        <v>226</v>
      </c>
    </row>
    <row r="5">
      <c r="A5" s="6">
        <v>3.0</v>
      </c>
      <c r="B5" s="6" t="s">
        <v>227</v>
      </c>
      <c r="C5" s="6" t="s">
        <v>228</v>
      </c>
    </row>
    <row r="6">
      <c r="A6" s="6">
        <v>4.0</v>
      </c>
      <c r="B6" s="6" t="s">
        <v>229</v>
      </c>
      <c r="C6" s="6" t="s">
        <v>230</v>
      </c>
    </row>
    <row r="7">
      <c r="A7" s="6">
        <v>5.0</v>
      </c>
      <c r="B7" s="6" t="s">
        <v>231</v>
      </c>
      <c r="C7" s="6" t="s">
        <v>232</v>
      </c>
    </row>
    <row r="8">
      <c r="A8" s="6">
        <v>6.0</v>
      </c>
      <c r="B8" s="6" t="s">
        <v>233</v>
      </c>
      <c r="C8" s="6" t="s">
        <v>234</v>
      </c>
    </row>
    <row r="9">
      <c r="A9" s="6">
        <v>7.0</v>
      </c>
      <c r="B9" s="6" t="s">
        <v>235</v>
      </c>
      <c r="C9" s="6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